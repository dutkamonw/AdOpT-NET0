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utka\MT\AdOpT-NET0_dw\2026_project\1_raw\"/>
    </mc:Choice>
  </mc:AlternateContent>
  <xr:revisionPtr revIDLastSave="0" documentId="13_ncr:1_{3A171700-985A-4521-8E85-DE29DBBBBC19}" xr6:coauthVersionLast="47" xr6:coauthVersionMax="47" xr10:uidLastSave="{00000000-0000-0000-0000-000000000000}"/>
  <bookViews>
    <workbookView xWindow="440" yWindow="4960" windowWidth="21420" windowHeight="7270" xr2:uid="{D2B23FF3-F1F1-467E-B3C6-7887C15468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 l="1"/>
  <c r="C2" i="1"/>
</calcChain>
</file>

<file path=xl/sharedStrings.xml><?xml version="1.0" encoding="utf-8"?>
<sst xmlns="http://schemas.openxmlformats.org/spreadsheetml/2006/main" count="35" uniqueCount="35">
  <si>
    <t>iso2</t>
  </si>
  <si>
    <t>ref</t>
  </si>
  <si>
    <t>country</t>
  </si>
  <si>
    <t>Egypt</t>
  </si>
  <si>
    <t>EG</t>
  </si>
  <si>
    <t>IL</t>
  </si>
  <si>
    <t>Isarael</t>
  </si>
  <si>
    <t>LB</t>
  </si>
  <si>
    <t>Lebanon</t>
  </si>
  <si>
    <t>LY</t>
  </si>
  <si>
    <t>Libya</t>
  </si>
  <si>
    <t>SY</t>
  </si>
  <si>
    <t>Syria</t>
  </si>
  <si>
    <t>https://www.globalpetrolprices.com/Israel/electricity_prices/</t>
  </si>
  <si>
    <t>USD/kWh</t>
  </si>
  <si>
    <t>update</t>
  </si>
  <si>
    <t>type</t>
  </si>
  <si>
    <t>quarterly data</t>
  </si>
  <si>
    <t>useful_link</t>
  </si>
  <si>
    <t>https://africaoilgasreport.com/2025/12/power-deficit/egypt-to-hike-electricity-tariff-in-early-2026/#:~:text=The%20plan%20is%20to%20close,continue%20to%20receive%20government%20support.%E2%80%9D</t>
  </si>
  <si>
    <t>remark</t>
  </si>
  <si>
    <t>Include the cost of power, distribution and transmission, and all taxes and fees. The website stated that the data source is from  Israel Electric Corporation (IEC), The Israel Public Utility Authority for Electricity. But I cannot find them.</t>
  </si>
  <si>
    <t>fiscal year</t>
  </si>
  <si>
    <t>price</t>
  </si>
  <si>
    <t>unit</t>
  </si>
  <si>
    <t>EGP/kWh</t>
  </si>
  <si>
    <t>https://egyptera.org/en/TarrifAug2024.aspx</t>
  </si>
  <si>
    <t>Average between Extra High voltage and High Voltage. Excluding stamp value. 100 Piastres (Pt) = 1 Egyptian Pound (EGP)</t>
  </si>
  <si>
    <t>Average all buy and sell in 2025 year</t>
  </si>
  <si>
    <t>exchange_rate_remark</t>
  </si>
  <si>
    <t>exhange_rate_ref</t>
  </si>
  <si>
    <t>https://www.cbe.org.eg/en/economic-research/statistics/cbe-exchange-rates/historical-data</t>
  </si>
  <si>
    <t>exchange_rate_to_EUR</t>
  </si>
  <si>
    <t>Average from 6 January 2025 to 24 December 2025</t>
  </si>
  <si>
    <t>https://www.ecb.europa.eu/stats/policy_and_exchange_rates/euro_reference_exchange_rates/html/eurofxref-graph-usd.en.html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</si>
</sst>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9" formatCode="0.0000"/>
  </numFmts>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left"/>
    </xf>
    <xf numFmtId="17" fontId="0" fillId="0" borderId="0" xfId="0" applyNumberFormat="1" applyAlignment="1">
      <alignment horizontal="left"/>
    </xf>
    <xf numFmtId="0" fontId="1" fillId="0" borderId="0" xfId="1" applyAlignment="1">
      <alignment horizontal="left"/>
    </xf>
    <xf numFmtId="164" fontId="0" fillId="0" borderId="0" xfId="0" applyNumberFormat="1" applyAlignment="1">
      <alignment horizontal="left"/>
    </xf>
    <xf numFmtId="0" fontId="1" fillId="0" borderId="0" xfId="1"/>
    <xf numFmtId="16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cb.europa.eu/stats/policy_and_exchange_rates/euro_reference_exchange_rates/html/eurofxref-graph-usd.en.html" TargetMode="External"/><Relationship Id="rId2" Type="http://schemas.openxmlformats.org/officeDocument/2006/relationships/hyperlink" Target="https://www.cbe.org.eg/en/economic-research/statistics/cbe-exchange-rates/historical-data" TargetMode="External"/><Relationship Id="rId1" Type="http://schemas.openxmlformats.org/officeDocument/2006/relationships/hyperlink" Target="https://egyptera.org/en/TarrifAug2024.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7809-5B42-40D7-95B5-3B82F5A7BFA7}">
  <dimension ref="A1:L6"/>
  <sheetViews>
    <sheetView tabSelected="1" zoomScale="130" zoomScaleNormal="130" workbookViewId="0">
      <selection activeCell="J2" sqref="J2"/>
    </sheetView>
  </sheetViews>
  <sheetFormatPr defaultRowHeight="14.5" x14ac:dyDescent="0.35"/>
  <cols>
    <col min="1" max="2" width="8.7265625" style="1"/>
    <col min="3" max="3" width="7.90625" style="1" customWidth="1"/>
    <col min="4" max="4" width="9.26953125" style="1" customWidth="1"/>
    <col min="5" max="5" width="15.08984375" style="1" customWidth="1"/>
    <col min="6" max="7" width="10" style="1" customWidth="1"/>
    <col min="8" max="8" width="11.1796875" style="1" customWidth="1"/>
    <col min="9" max="9" width="13.08984375" customWidth="1"/>
    <col min="10" max="10" width="23.7265625" customWidth="1"/>
    <col min="11" max="11" width="20.54296875" customWidth="1"/>
  </cols>
  <sheetData>
    <row r="1" spans="1:12" x14ac:dyDescent="0.35">
      <c r="A1" s="1" t="s">
        <v>0</v>
      </c>
      <c r="B1" s="1" t="s">
        <v>2</v>
      </c>
      <c r="C1" s="1" t="s">
        <v>23</v>
      </c>
      <c r="D1" s="1" t="s">
        <v>24</v>
      </c>
      <c r="E1" s="1" t="s">
        <v>16</v>
      </c>
      <c r="F1" s="1" t="s">
        <v>15</v>
      </c>
      <c r="G1" s="1" t="s">
        <v>20</v>
      </c>
      <c r="H1" s="1" t="s">
        <v>1</v>
      </c>
      <c r="I1" s="1" t="s">
        <v>18</v>
      </c>
      <c r="J1" s="1" t="s">
        <v>32</v>
      </c>
      <c r="K1" s="1" t="s">
        <v>29</v>
      </c>
      <c r="L1" s="1" t="s">
        <v>30</v>
      </c>
    </row>
    <row r="2" spans="1:12" x14ac:dyDescent="0.35">
      <c r="A2" s="1" t="s">
        <v>4</v>
      </c>
      <c r="B2" s="1" t="s">
        <v>3</v>
      </c>
      <c r="C2" s="4">
        <f>AVERAGE(1.6, 1.74)</f>
        <v>1.67</v>
      </c>
      <c r="D2" s="4" t="s">
        <v>25</v>
      </c>
      <c r="E2" s="1" t="s">
        <v>22</v>
      </c>
      <c r="F2" s="2">
        <v>45870</v>
      </c>
      <c r="G2" s="2" t="s">
        <v>27</v>
      </c>
      <c r="H2" s="3" t="s">
        <v>26</v>
      </c>
      <c r="I2" t="s">
        <v>19</v>
      </c>
      <c r="J2" s="6">
        <f>1/55.5953</f>
        <v>1.7987132005763077E-2</v>
      </c>
      <c r="K2" t="s">
        <v>28</v>
      </c>
      <c r="L2" s="5" t="s">
        <v>31</v>
      </c>
    </row>
    <row r="3" spans="1:12" x14ac:dyDescent="0.35">
      <c r="A3" s="1" t="s">
        <v>5</v>
      </c>
      <c r="B3" s="1" t="s">
        <v>6</v>
      </c>
      <c r="C3" s="4">
        <v>0.14000000000000001</v>
      </c>
      <c r="D3" s="1" t="s">
        <v>14</v>
      </c>
      <c r="E3" s="1" t="s">
        <v>17</v>
      </c>
      <c r="F3" s="2">
        <v>45901</v>
      </c>
      <c r="G3" s="2" t="s">
        <v>21</v>
      </c>
      <c r="H3" s="1" t="s">
        <v>13</v>
      </c>
      <c r="J3">
        <v>0.88480000000000003</v>
      </c>
      <c r="K3" t="s">
        <v>33</v>
      </c>
      <c r="L3" s="5" t="s">
        <v>34</v>
      </c>
    </row>
    <row r="4" spans="1:12" x14ac:dyDescent="0.35">
      <c r="A4" s="1" t="s">
        <v>7</v>
      </c>
      <c r="B4" s="1" t="s">
        <v>8</v>
      </c>
      <c r="C4" s="4"/>
      <c r="D4" s="4"/>
    </row>
    <row r="5" spans="1:12" x14ac:dyDescent="0.35">
      <c r="A5" s="1" t="s">
        <v>9</v>
      </c>
      <c r="B5" s="1" t="s">
        <v>10</v>
      </c>
      <c r="C5" s="4"/>
      <c r="D5" s="4"/>
    </row>
    <row r="6" spans="1:12" x14ac:dyDescent="0.35">
      <c r="A6" s="1" t="s">
        <v>11</v>
      </c>
      <c r="B6" s="1" t="s">
        <v>12</v>
      </c>
      <c r="C6" s="4"/>
      <c r="D6" s="4"/>
    </row>
  </sheetData>
  <hyperlinks>
    <hyperlink ref="H2" r:id="rId1" xr:uid="{06544042-0CC4-4862-8C4E-FEE4B521C61C}"/>
    <hyperlink ref="L2" r:id="rId2" xr:uid="{15F7CF62-D5CB-449A-856F-A3EAA45238B3}"/>
    <hyperlink ref="L3" r:id="rId3" xr:uid="{2E859603-F6A8-4053-A3CF-DEC0E57ADB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Wongsuvapich, D. (Dutkamon)</dc:creator>
  <cp:lastModifiedBy>Wongsuvapich, D. (Dutkamon)</cp:lastModifiedBy>
  <dcterms:created xsi:type="dcterms:W3CDTF">2026-04-27T19:09:32Z</dcterms:created>
  <dcterms:modified xsi:type="dcterms:W3CDTF">2026-04-27T22:06:27Z</dcterms:modified>
</cp:coreProperties>
</file>