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dutka\MT\AdOpT-NET0_dw\2026_project\1_raw\"/>
    </mc:Choice>
  </mc:AlternateContent>
  <xr:revisionPtr revIDLastSave="0" documentId="13_ncr:1_{E752034F-A514-4FC6-A139-5E33992BADA9}" xr6:coauthVersionLast="47" xr6:coauthVersionMax="47" xr10:uidLastSave="{00000000-0000-0000-0000-000000000000}"/>
  <bookViews>
    <workbookView xWindow="-870" yWindow="3240" windowWidth="25470" windowHeight="9220" xr2:uid="{D2B23FF3-F1F1-467E-B3C6-7887C154684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J2" i="1" l="1"/>
  <c r="C2" i="1"/>
</calcChain>
</file>

<file path=xl/sharedStrings.xml><?xml version="1.0" encoding="utf-8"?>
<sst xmlns="http://schemas.openxmlformats.org/spreadsheetml/2006/main" count="35" uniqueCount="35">
  <si>
    <t>iso2</t>
  </si>
  <si>
    <t>ref</t>
  </si>
  <si>
    <t>country</t>
  </si>
  <si>
    <t>Egypt</t>
  </si>
  <si>
    <t>EG</t>
  </si>
  <si>
    <t>IL</t>
  </si>
  <si>
    <t>Isarael</t>
  </si>
  <si>
    <t>LB</t>
  </si>
  <si>
    <t>Lebanon</t>
  </si>
  <si>
    <t>LY</t>
  </si>
  <si>
    <t>Libya</t>
  </si>
  <si>
    <t>SY</t>
  </si>
  <si>
    <t>Syria</t>
  </si>
  <si>
    <t>https://www.globalpetrolprices.com/Israel/electricity_prices/</t>
  </si>
  <si>
    <t>USD/kWh</t>
  </si>
  <si>
    <t>update</t>
  </si>
  <si>
    <t>type</t>
  </si>
  <si>
    <t>quarterly data</t>
  </si>
  <si>
    <t>useful_link</t>
  </si>
  <si>
    <t>https://africaoilgasreport.com/2025/12/power-deficit/egypt-to-hike-electricity-tariff-in-early-2026/#:~:text=The%20plan%20is%20to%20close,continue%20to%20receive%20government%20support.%E2%80%9D</t>
  </si>
  <si>
    <t>remark</t>
  </si>
  <si>
    <t>Include the cost of power, distribution and transmission, and all taxes and fees. The website stated that the data source is from  Israel Electric Corporation (IEC), The Israel Public Utility Authority for Electricity. But I cannot find them.</t>
  </si>
  <si>
    <t>fiscal year</t>
  </si>
  <si>
    <t>price</t>
  </si>
  <si>
    <t>unit</t>
  </si>
  <si>
    <t>EGP/kWh</t>
  </si>
  <si>
    <t>https://egyptera.org/en/TarrifAug2024.aspx</t>
  </si>
  <si>
    <t>Average between Extra High voltage and High Voltage. Excluding stamp value. 100 Piastres (Pt) = 1 Egyptian Pound (EGP)</t>
  </si>
  <si>
    <t>Average all buy and sell in 2025 year</t>
  </si>
  <si>
    <t>exchange_rate_remark</t>
  </si>
  <si>
    <t>exhange_rate_ref</t>
  </si>
  <si>
    <t>https://www.cbe.org.eg/en/economic-research/statistics/cbe-exchange-rates/historical-data</t>
  </si>
  <si>
    <t>exchange_rate_to_EUR</t>
  </si>
  <si>
    <t>Average from 6 January 2025 to 24 December 2025</t>
  </si>
  <si>
    <t>https://www.ecb.europa.eu/stats/policy_and_exchange_rates/euro_reference_exchange_rates/html/eurofxref-graph-usd.en.html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</si>
</sst>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000"/>
  </numFmts>
  <fonts count="2" x14ac:knownFonts="1">
    <font>
      <sz val="11"/>
      <color theme="1"/>
      <name val="Aptos Narrow"/>
      <family val="2"/>
      <scheme val="minor"/>
    </font>
    <font>
      <u/>
      <sz val="11"/>
      <color theme="10"/>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7">
    <xf numFmtId="0" fontId="0" fillId="0" borderId="0" xfId="0"/>
    <xf numFmtId="0" fontId="0" fillId="0" borderId="0" xfId="0" applyAlignment="1">
      <alignment horizontal="left"/>
    </xf>
    <xf numFmtId="17" fontId="0" fillId="0" borderId="0" xfId="0" applyNumberFormat="1" applyAlignment="1">
      <alignment horizontal="left"/>
    </xf>
    <xf numFmtId="0" fontId="1" fillId="0" borderId="0" xfId="1" applyAlignment="1">
      <alignment horizontal="left"/>
    </xf>
    <xf numFmtId="164" fontId="0" fillId="0" borderId="0" xfId="0" applyNumberFormat="1" applyAlignment="1">
      <alignment horizontal="left"/>
    </xf>
    <xf numFmtId="0" fontId="1" fillId="0" borderId="0" xfId="1"/>
    <xf numFmtId="165" fontId="0" fillId="0" borderId="0" xfId="0" applyNumberForma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cb.europa.eu/stats/policy_and_exchange_rates/euro_reference_exchange_rates/html/eurofxref-graph-usd.en.html" TargetMode="External"/><Relationship Id="rId2" Type="http://schemas.openxmlformats.org/officeDocument/2006/relationships/hyperlink" Target="https://www.cbe.org.eg/en/economic-research/statistics/cbe-exchange-rates/historical-data" TargetMode="External"/><Relationship Id="rId1" Type="http://schemas.openxmlformats.org/officeDocument/2006/relationships/hyperlink" Target="https://egyptera.org/en/TarrifAug2024.aspx" TargetMode="External"/><Relationship Id="rId4" Type="http://schemas.openxmlformats.org/officeDocument/2006/relationships/hyperlink" Target="https://www.globalpetrolprices.com/Israel/electricity_pric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C7809-5B42-40D7-95B5-3B82F5A7BFA7}">
  <dimension ref="A1:L6"/>
  <sheetViews>
    <sheetView tabSelected="1" zoomScale="130" zoomScaleNormal="130" workbookViewId="0">
      <selection activeCell="J8" sqref="J8"/>
    </sheetView>
  </sheetViews>
  <sheetFormatPr defaultRowHeight="14.5" x14ac:dyDescent="0.35"/>
  <cols>
    <col min="1" max="2" width="8.7265625" style="1"/>
    <col min="3" max="3" width="7.90625" style="1" customWidth="1"/>
    <col min="4" max="4" width="9.26953125" style="1" customWidth="1"/>
    <col min="5" max="5" width="15.08984375" style="1" customWidth="1"/>
    <col min="6" max="7" width="10" style="1" customWidth="1"/>
    <col min="8" max="8" width="11.1796875" style="1" customWidth="1"/>
    <col min="9" max="9" width="13.08984375" customWidth="1"/>
    <col min="10" max="10" width="23.7265625" customWidth="1"/>
    <col min="11" max="11" width="20.54296875" customWidth="1"/>
  </cols>
  <sheetData>
    <row r="1" spans="1:12" x14ac:dyDescent="0.35">
      <c r="A1" s="1" t="s">
        <v>0</v>
      </c>
      <c r="B1" s="1" t="s">
        <v>2</v>
      </c>
      <c r="C1" s="1" t="s">
        <v>23</v>
      </c>
      <c r="D1" s="1" t="s">
        <v>24</v>
      </c>
      <c r="E1" s="1" t="s">
        <v>16</v>
      </c>
      <c r="F1" s="1" t="s">
        <v>15</v>
      </c>
      <c r="G1" s="1" t="s">
        <v>20</v>
      </c>
      <c r="H1" s="1" t="s">
        <v>1</v>
      </c>
      <c r="I1" s="1" t="s">
        <v>18</v>
      </c>
      <c r="J1" s="1" t="s">
        <v>32</v>
      </c>
      <c r="K1" s="1" t="s">
        <v>29</v>
      </c>
      <c r="L1" s="1" t="s">
        <v>30</v>
      </c>
    </row>
    <row r="2" spans="1:12" x14ac:dyDescent="0.35">
      <c r="A2" s="1" t="s">
        <v>4</v>
      </c>
      <c r="B2" s="1" t="s">
        <v>3</v>
      </c>
      <c r="C2" s="4">
        <f>AVERAGE(1.6, 1.74)</f>
        <v>1.67</v>
      </c>
      <c r="D2" s="4" t="s">
        <v>25</v>
      </c>
      <c r="E2" s="1" t="s">
        <v>22</v>
      </c>
      <c r="F2" s="2">
        <v>45870</v>
      </c>
      <c r="G2" s="2" t="s">
        <v>27</v>
      </c>
      <c r="H2" s="3" t="s">
        <v>26</v>
      </c>
      <c r="I2" t="s">
        <v>19</v>
      </c>
      <c r="J2" s="6">
        <f>1/55.5953</f>
        <v>1.7987132005763077E-2</v>
      </c>
      <c r="K2" t="s">
        <v>28</v>
      </c>
      <c r="L2" s="5" t="s">
        <v>31</v>
      </c>
    </row>
    <row r="3" spans="1:12" x14ac:dyDescent="0.35">
      <c r="A3" s="1" t="s">
        <v>5</v>
      </c>
      <c r="B3" s="1" t="s">
        <v>6</v>
      </c>
      <c r="C3" s="4">
        <v>0.14000000000000001</v>
      </c>
      <c r="D3" s="1" t="s">
        <v>14</v>
      </c>
      <c r="E3" s="1" t="s">
        <v>17</v>
      </c>
      <c r="F3" s="2">
        <v>45901</v>
      </c>
      <c r="G3" s="2" t="s">
        <v>21</v>
      </c>
      <c r="H3" s="3" t="s">
        <v>13</v>
      </c>
      <c r="J3">
        <v>0.88480000000000003</v>
      </c>
      <c r="K3" t="s">
        <v>33</v>
      </c>
      <c r="L3" s="5" t="s">
        <v>34</v>
      </c>
    </row>
    <row r="4" spans="1:12" x14ac:dyDescent="0.35">
      <c r="A4" s="1" t="s">
        <v>7</v>
      </c>
      <c r="B4" s="1" t="s">
        <v>8</v>
      </c>
      <c r="C4" s="4"/>
      <c r="D4" s="4"/>
    </row>
    <row r="5" spans="1:12" x14ac:dyDescent="0.35">
      <c r="A5" s="1" t="s">
        <v>9</v>
      </c>
      <c r="B5" s="1" t="s">
        <v>10</v>
      </c>
      <c r="C5" s="4"/>
      <c r="D5" s="4"/>
    </row>
    <row r="6" spans="1:12" x14ac:dyDescent="0.35">
      <c r="A6" s="1" t="s">
        <v>11</v>
      </c>
      <c r="B6" s="1" t="s">
        <v>12</v>
      </c>
      <c r="C6" s="4"/>
      <c r="D6" s="4"/>
    </row>
  </sheetData>
  <hyperlinks>
    <hyperlink ref="H2" r:id="rId1" xr:uid="{06544042-0CC4-4862-8C4E-FEE4B521C61C}"/>
    <hyperlink ref="L2" r:id="rId2" xr:uid="{15F7CF62-D5CB-449A-856F-A3EAA45238B3}"/>
    <hyperlink ref="L3" r:id="rId3" xr:uid="{2E859603-F6A8-4053-A3CF-DEC0E57ADB63}"/>
    <hyperlink ref="H3" r:id="rId4" xr:uid="{44390380-9332-492A-8247-381615102CD6}"/>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Wongsuvapich, D. (Dutkamon)</dc:creator>
  <cp:lastModifiedBy>Wongsuvapich, D. (Dutkamon)</cp:lastModifiedBy>
  <dcterms:created xsi:type="dcterms:W3CDTF">2026-04-27T19:09:32Z</dcterms:created>
  <dcterms:modified xsi:type="dcterms:W3CDTF">2026-06-06T23:30:23Z</dcterms:modified>
</cp:coreProperties>
</file>