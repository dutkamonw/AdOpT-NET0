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tka\MT\AdOpT-NET0_dw\2026_project\1_raw\"/>
    </mc:Choice>
  </mc:AlternateContent>
  <xr:revisionPtr revIDLastSave="0" documentId="13_ncr:1_{C4AC6353-1A48-4EA0-A908-F43616D1306D}" xr6:coauthVersionLast="47" xr6:coauthVersionMax="47" xr10:uidLastSave="{00000000-0000-0000-0000-000000000000}"/>
  <bookViews>
    <workbookView xWindow="0" yWindow="360" windowWidth="25820" windowHeight="15500" xr2:uid="{9826EF64-3551-444B-B13B-2294A2FF1464}"/>
  </bookViews>
  <sheets>
    <sheet name="Sheet1" sheetId="1" r:id="rId1"/>
  </sheets>
  <definedNames>
    <definedName name="_xlnm._FilterDatabase" localSheetId="0" hidden="1">Sheet1!$A$1:$AP$635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7" i="1" l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tc={3DE21DBB-1FA1-4988-99DF-90018901F861}</author>
    <author>tc={B253C90C-5C34-4C36-83AC-E89575C7DFBF}</author>
    <author>tc={3EACA76C-A669-4339-9369-63FD4EF3B75B}</author>
    <author>tc={162D2BF3-1402-47E1-8F96-CDCF5646A5A4}</author>
    <author>tc={152CED79-E006-4BCD-BB7E-507675D29027}</author>
    <author>tc={4C082E99-BACC-47F0-85AB-07E9AB14F766}</author>
    <author>tc={8C1EE284-D6BE-4B2E-861C-F2ABCEC4B578}</author>
    <author>tc={303DDAD7-CF41-4D89-9DE5-D185681E9640}</author>
    <author>tc={09F5C3A0-435C-4B33-85DF-63AE0DDED8A8}</author>
    <author>tc={2843AB07-EA7D-47BB-B4DA-9BB6901D7ED3}</author>
    <author>tc={1400A200-1722-4841-A1E4-8DE0CF871339}</author>
    <author>tc={CC194455-0C46-4334-AAF6-6DA60131AA12}</author>
    <author>tc={DFC74770-6B00-448A-97F9-D5347ED2AF74}</author>
    <author>tc={0FBE688A-89A1-4520-9A01-5D71C54C56EB}</author>
    <author>tc={2E0354A1-3416-4334-ABE8-11574C1BFBD6}</author>
    <author>tc={CBF58DF6-794F-4476-889B-FE43F16B9859}</author>
    <author>tc={F57021BB-6117-4405-8ECD-2209FAD6B73B}</author>
    <author>tc={E4F186B1-F75B-4E18-B3BB-296B2C057B63}</author>
    <author>tc={E655D7CC-58E0-4652-AD7C-DAF3F05BCFFF}</author>
    <author>tc={8D0FFDEC-5DF7-47CF-9F26-50988C50AED4}</author>
    <author>tc={851011E8-1112-4A2C-9292-5AE6CDE6C4C8}</author>
    <author>tc={8251E631-6CB5-4989-ACF2-55F366D6BF8D}</author>
    <author>tc={AF357CFA-FB85-4D78-862C-07951C0048C7}</author>
    <author>tc={1902EA7B-874D-4459-9847-BA86BB84ED45}</author>
    <author>tc={19C3FC7D-B261-4EFD-9467-0CFBEF3952A8}</author>
    <author>tc={A00B54DB-F11B-4E8B-B2BF-308FCD039CCB}</author>
  </authors>
  <commentList>
    <comment ref="J1" authorId="0" shapeId="0" xr:uid="{3DE21DBB-1FA1-4988-99DF-90018901F861}">
      <text>
        <t>[Threaded comment]
Your version of Excel allows you to read this threaded comment; however, any edits to it will get removed if the file is opened in a newer version of Excel. Learn more: https://go.microsoft.com/fwlink/?linkid=870924
Comment:
    Y</t>
      </text>
    </comment>
    <comment ref="Q1" authorId="1" shapeId="0" xr:uid="{B253C90C-5C34-4C36-83AC-E89575C7DFBF}">
      <text>
        <t>[Threaded comment]
Your version of Excel allows you to read this threaded comment; however, any edits to it will get removed if the file is opened in a newer version of Excel. Learn more: https://go.microsoft.com/fwlink/?linkid=870924
Comment:
    Some is Min-Mean-Max, Some is P10-P50-P90. So, decided to use Low-Base-High</t>
      </text>
    </comment>
    <comment ref="AM1" authorId="2" shapeId="0" xr:uid="{3EACA76C-A669-4339-9369-63FD4EF3B7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Reservoir thickness</t>
      </text>
    </comment>
    <comment ref="A2" authorId="3" shapeId="0" xr:uid="{162D2BF3-1402-47E1-8F96-CDCF5646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Green = Confirm project</t>
      </text>
    </comment>
    <comment ref="Q2" authorId="4" shapeId="0" xr:uid="{152CED79-E006-4BCD-BB7E-507675D29027}">
      <text>
        <t>[Threaded comment]
Your version of Excel allows you to read this threaded comment; however, any edits to it will get removed if the file is opened in a newer version of Excel. Learn more: https://go.microsoft.com/fwlink/?linkid=870924
Comment:
    CO2StoP = 900/1000/1100</t>
      </text>
    </comment>
    <comment ref="J3" authorId="5" shapeId="0" xr:uid="{4C082E99-BACC-47F0-85AB-07E9AB14F766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https://www.gem.wiki/Porto_Corsini_E_Gas_Field_(Italy)#:~:text=Table%203:%20Field%2Dlevel%20location%20details%20for%20Porto,Concession/Block%2C%20Basin%2C%20Location%2C%20Onshore/Offshore%2C%20Coordinates%20(WGS%2084).</t>
      </text>
    </comment>
    <comment ref="J4" authorId="6" shapeId="0" xr:uid="{8C1EE284-D6BE-4B2E-861C-F2ABCEC4B578}">
      <text>
        <t>[Threaded comment]
Your version of Excel allows you to read this threaded comment; however, any edits to it will get removed if the file is opened in a newer version of Excel. Learn more: https://go.microsoft.com/fwlink/?linkid=870924
Comment:
    Casablanca field</t>
      </text>
    </comment>
    <comment ref="G6" authorId="7" shapeId="0" xr:uid="{303DDAD7-CF41-4D89-9DE5-D185681E9640}">
      <text>
        <t>[Threaded comment]
Your version of Excel allows you to read this threaded comment; however, any edits to it will get removed if the file is opened in a newer version of Excel. Learn more: https://go.microsoft.com/fwlink/?linkid=870924
Comment:
    Klara &amp; Kate are in Dugi Otok basin. But these two prospects are deep carbonate complex.</t>
      </text>
    </comment>
    <comment ref="N6" authorId="8" shapeId="0" xr:uid="{09F5C3A0-435C-4B33-85DF-63AE0DDED8A8}">
      <text>
        <t>[Threaded comment]
Your version of Excel allows you to read this threaded comment; however, any edits to it will get removed if the file is opened in a newer version of Excel. Learn more: https://go.microsoft.com/fwlink/?linkid=870924
Comment:
    guessing</t>
      </text>
    </comment>
    <comment ref="J10" authorId="9" shapeId="0" xr:uid="{2843AB07-EA7D-47BB-B4DA-9BB6901D7E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Ref: https://www.gem.wiki/Fossil_Gas_Extraction_Sites_in_Europe#Project:_Ika_And_Ida_Gas_Fields</t>
      </text>
    </comment>
    <comment ref="J11" authorId="10" shapeId="0" xr:uid="{1400A200-1722-4841-A1E4-8DE0CF8713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SW from Ida</t>
      </text>
    </comment>
    <comment ref="F13" authorId="11" shapeId="0" xr:uid="{CC194455-0C46-4334-AAF6-6DA60131AA12}">
      <text>
        <t>[Threaded comment]
Your version of Excel allows you to read this threaded comment; however, any edits to it will get removed if the file is opened in a newer version of Excel. Learn more: https://go.microsoft.com/fwlink/?linkid=870924
Comment:
    shallow</t>
      </text>
    </comment>
    <comment ref="L13" authorId="12" shapeId="0" xr:uid="{DFC74770-6B00-448A-97F9-D5347ED2AF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Read from map Ref.G4</t>
      </text>
    </comment>
    <comment ref="AI13" authorId="13" shapeId="0" xr:uid="{0FBE688A-89A1-4520-9A01-5D71C54C56EB}">
      <text>
        <t>[Threaded comment]
Your version of Excel allows you to read this threaded comment; however, any edits to it will get removed if the file is opened in a newer version of Excel. Learn more: https://go.microsoft.com/fwlink/?linkid=870924
Comment:
    G4 set fracture gradient 0.18 bar/m</t>
      </text>
    </comment>
    <comment ref="AK14" authorId="14" shapeId="0" xr:uid="{2E0354A1-3416-4334-ABE8-11574C1BFBD6}">
      <text>
        <t>[Threaded comment]
Your version of Excel allows you to read this threaded comment; however, any edits to it will get removed if the file is opened in a newer version of Excel. Learn more: https://go.microsoft.com/fwlink/?linkid=870924
Comment:
    1900-2800
Reply:
    1900-2800
Reply:
    1900-2800</t>
      </text>
    </comment>
    <comment ref="G15" authorId="15" shapeId="0" xr:uid="{CBF58DF6-794F-4476-889B-FE43F16B9859}">
      <text>
        <t>[Threaded comment]
Your version of Excel allows you to read this threaded comment; however, any edits to it will get removed if the file is opened in a newer version of Excel. Learn more: https://go.microsoft.com/fwlink/?linkid=870924
Comment:
    Hasdrubal concession, Gulf of Gabes</t>
      </text>
    </comment>
    <comment ref="K15" authorId="16" shapeId="0" xr:uid="{F57021BB-6117-4405-8ECD-2209FAD6B73B}">
      <text>
        <t>[Threaded comment]
Your version of Excel allows you to read this threaded comment; however, any edits to it will get removed if the file is opened in a newer version of Excel. Learn more: https://go.microsoft.com/fwlink/?linkid=870924
Comment:
    GemWiki</t>
      </text>
    </comment>
    <comment ref="F17" authorId="17" shapeId="0" xr:uid="{E4F186B1-F75B-4E18-B3BB-296B2C057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Producing but low remaining --&gt; Turn to --&gt; Depleted reservoir</t>
      </text>
    </comment>
    <comment ref="J18" authorId="18" shapeId="0" xr:uid="{E655D7CC-58E0-4652-AD7C-DAF3F05BCFF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Approx. from North Abu Qir PIII</t>
      </text>
    </comment>
    <comment ref="K19" authorId="19" shapeId="0" xr:uid="{8D0FFDEC-5DF7-47CF-9F26-50988C50AED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from Baltim E</t>
      </text>
    </comment>
    <comment ref="J20" authorId="20" shapeId="0" xr:uid="{851011E8-1112-4A2C-9292-5AE6CDE6C4C8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https://www.gem.wiki/Zohr_Gas_Field_(Egypt)#cite_note-autoref_19-22</t>
      </text>
    </comment>
    <comment ref="J23" authorId="21" shapeId="0" xr:uid="{8251E631-6CB5-4989-ACF2-55F366D6BF8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Baltim South West</t>
      </text>
    </comment>
    <comment ref="J27" authorId="22" shapeId="0" xr:uid="{AF357CFA-FB85-4D78-862C-07951C0048C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 from El Temsah</t>
      </text>
    </comment>
    <comment ref="J34" authorId="23" shapeId="0" xr:uid="{1902EA7B-874D-4459-9847-BA86BB84ED4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Approx. from Zeit Bay</t>
      </text>
    </comment>
    <comment ref="J43" authorId="24" shapeId="0" xr:uid="{19C3FC7D-B261-4EFD-9467-0CFBEF3952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Safa</t>
      </text>
    </comment>
    <comment ref="J45" authorId="25" shapeId="0" xr:uid="{A00B54DB-F11B-4E8B-B2BF-308FCD039CCB}">
      <text>
        <t>[Threaded comment]
Your version of Excel allows you to read this threaded comment; however, any edits to it will get removed if the file is opened in a newer version of Excel. Learn more: https://go.microsoft.com/fwlink/?linkid=870924
Comment:
    Alam El Shawish West</t>
      </text>
    </comment>
  </commentList>
</comments>
</file>

<file path=xl/sharedStrings.xml><?xml version="1.0" encoding="utf-8"?>
<sst xmlns="http://schemas.openxmlformats.org/spreadsheetml/2006/main" count="1556" uniqueCount="455">
  <si>
    <t>ES</t>
  </si>
  <si>
    <t>Early Development</t>
  </si>
  <si>
    <t>CO2StoP</t>
  </si>
  <si>
    <t>GR</t>
  </si>
  <si>
    <t>Prinos</t>
  </si>
  <si>
    <t>Advanced development</t>
  </si>
  <si>
    <t>Ravenna</t>
  </si>
  <si>
    <t>IT</t>
  </si>
  <si>
    <t>In operation</t>
  </si>
  <si>
    <t>TYPE</t>
  </si>
  <si>
    <t>PROJECTION</t>
  </si>
  <si>
    <t>TOTAL_CAPACITY_HIGH_MT</t>
  </si>
  <si>
    <t>TOTAL_CAPACITY_LOW_MT</t>
  </si>
  <si>
    <t>TOTAL_CAPACITY_BASE_MT</t>
  </si>
  <si>
    <t>PHASE1_YR</t>
  </si>
  <si>
    <t>PHASE1_MTPA</t>
  </si>
  <si>
    <t>PHASE2_YR</t>
  </si>
  <si>
    <t>PHASE2_MTPA</t>
  </si>
  <si>
    <t>PHASE3_YR</t>
  </si>
  <si>
    <t>PHASE3_MTPA</t>
  </si>
  <si>
    <t>PHASE4_YR</t>
  </si>
  <si>
    <t>PHASE4_MTPA</t>
  </si>
  <si>
    <t>CURRENT_PRESSURE_MIN_BAR</t>
  </si>
  <si>
    <t>CURRENT_PRESSURE_MEAN_BAR</t>
  </si>
  <si>
    <t>CURRENT_PRESSURE_MAX_BAR</t>
  </si>
  <si>
    <t>LIMIT_PRESSURE_MIN_BAR</t>
  </si>
  <si>
    <t>LIMIT_PRESSURE_MEAN_BAR</t>
  </si>
  <si>
    <t>LIMIT_PRESSURE_MAX_BAR</t>
  </si>
  <si>
    <t>AT</t>
  </si>
  <si>
    <t/>
  </si>
  <si>
    <t>Saline Aquifer with hydrocarbon fields</t>
  </si>
  <si>
    <t>ETRS_1989_UTM_Zone_33N</t>
  </si>
  <si>
    <t>AT_F_20120925142717238</t>
  </si>
  <si>
    <t>Obereozänsande</t>
  </si>
  <si>
    <t>assessment-unit type not assured - possible dry sands without saline aquifer</t>
  </si>
  <si>
    <t>AT_F_20120925143950381</t>
  </si>
  <si>
    <t>Cenomansande</t>
  </si>
  <si>
    <t>oil-water contact present but not saline aquifer</t>
  </si>
  <si>
    <t>AT_F_20121102160144734</t>
  </si>
  <si>
    <t>Hauptdolomit_bajuvarian nappe</t>
  </si>
  <si>
    <t>BE</t>
  </si>
  <si>
    <t>BE_F_20120921102046500</t>
  </si>
  <si>
    <t>Buntsandstein FM</t>
  </si>
  <si>
    <t>limited information available. Buntsandstein FM can be found in both the Campine Basin as the Roer Valley Graben. Conditions in the Roer Valley Graben are beter (depth)</t>
  </si>
  <si>
    <t>Saline Aquifer without hydrocarbon fields</t>
  </si>
  <si>
    <t>Belgian datum 72, Lambert 1972</t>
  </si>
  <si>
    <t>BE_F_20120921102921359</t>
  </si>
  <si>
    <t>Neeroeteren FM</t>
  </si>
  <si>
    <t>Limited information available; possible pressence in Roer Valley Graben at sufficient depth but no core information available in RVG (data used is interpolated from boreholes in Campine Basin at 600 m depth)</t>
  </si>
  <si>
    <t>BE_F_20120924133657250</t>
  </si>
  <si>
    <t>Houtem and Maastricht FM</t>
  </si>
  <si>
    <t>Limited information available; The formation goes over in the Roer Valley graben. The depth of both Formations is 60m and the estimated mean porosity 14.5%.. NOTE USER CALCULATED CAPACITIES are Practical Capcities</t>
  </si>
  <si>
    <t>BE_F_20120924135156406</t>
  </si>
  <si>
    <t>Dinantian North FM</t>
  </si>
  <si>
    <t>little data available</t>
  </si>
  <si>
    <t>BE_F_20121002151947640</t>
  </si>
  <si>
    <t>Devonian North FM</t>
  </si>
  <si>
    <t>no core data availeble, capacities calculated with Geo-techno-economic simulation (Welkenhuysen et al., submitted)</t>
  </si>
  <si>
    <t>BE_F_20121002154410859</t>
  </si>
  <si>
    <t>Devonian South FM</t>
  </si>
  <si>
    <t>No core data. Capacities based on Geo-techno-economic simulation (Welkenhuysen et al., submitted</t>
  </si>
  <si>
    <t>BE_F_20121002154511843</t>
  </si>
  <si>
    <t>Dinantian South FM</t>
  </si>
  <si>
    <t>great conflict with geothermal energy</t>
  </si>
  <si>
    <t>BG</t>
  </si>
  <si>
    <t>BG_F_20121113110644440</t>
  </si>
  <si>
    <t>Middle Devonian carbonates</t>
  </si>
  <si>
    <t>WGS 84</t>
  </si>
  <si>
    <t>BG_F_20121113111630527</t>
  </si>
  <si>
    <t>Lower Triassic clastics</t>
  </si>
  <si>
    <t>BG_F_20121113111847261</t>
  </si>
  <si>
    <t>Middle Jurassic clastics</t>
  </si>
  <si>
    <t>BG_F_20121113111934576</t>
  </si>
  <si>
    <t>Lower Cretaceous</t>
  </si>
  <si>
    <t>BG_F_20121113112917939</t>
  </si>
  <si>
    <t>Upper Cretaceous</t>
  </si>
  <si>
    <t>BG_F_20121113112957329</t>
  </si>
  <si>
    <t>Middle Eocene</t>
  </si>
  <si>
    <t>BG_F_20121113113042054</t>
  </si>
  <si>
    <t>Middle-Upper Eocene</t>
  </si>
  <si>
    <t>LAMBERT CONFORMAL CONIC - Project Projection</t>
  </si>
  <si>
    <t>CH</t>
  </si>
  <si>
    <t>CH_F_20120911151242576</t>
  </si>
  <si>
    <t>Hauptrogenstein</t>
  </si>
  <si>
    <t>very limited knowledge of its aquifer properties, but it appears that the formation water is brackish (e.g. 2–4 g/L TDS)</t>
  </si>
  <si>
    <t>WGS84</t>
  </si>
  <si>
    <t>CH_F_20120912115738325</t>
  </si>
  <si>
    <t>Trigonodus Dolomite</t>
  </si>
  <si>
    <t>This reservoir has certainly also fracture porosity. The values for the Poro-Perm we used only considered plug porosity. So there is certainly an upside potential. Despite a high porosity of around 20%, the permeability is usually lower than 60 mD</t>
  </si>
  <si>
    <t>CH_F_20120912122014497</t>
  </si>
  <si>
    <t>Upper Marine Molasse</t>
  </si>
  <si>
    <t>CH_F_20120928140939203</t>
  </si>
  <si>
    <t>UpperMalm+Lower Cretaceous</t>
  </si>
  <si>
    <t>This reservoir has certainly also fracture porosity. The values for the Poro-Perm we used only considered plug porosity. So there is certainly an upside potential</t>
  </si>
  <si>
    <t>CZ</t>
  </si>
  <si>
    <t>S-JTSK_Krovak_East_North</t>
  </si>
  <si>
    <t>CZ_F_20121019100338402</t>
  </si>
  <si>
    <t>Bohemian Permo-Carboniferous</t>
  </si>
  <si>
    <t>Limnic basin, no representative values for thickness, porosity or seal can be provided</t>
  </si>
  <si>
    <t>DK</t>
  </si>
  <si>
    <t>DK_F_20120905093809222</t>
  </si>
  <si>
    <t>Bunter Sandstone Formation</t>
  </si>
  <si>
    <t>Ref. Sec. Rødby-1 borehole (11,4 long, 57,7 lat)</t>
  </si>
  <si>
    <t>Decimal degrees</t>
  </si>
  <si>
    <t>DK_F_20120905113052957</t>
  </si>
  <si>
    <t>Gassum Formation</t>
  </si>
  <si>
    <t>Formation center ~ Terne-1 borehole (11,5 long, 56,3 lat)</t>
  </si>
  <si>
    <t>DK_F_20120905113540120</t>
  </si>
  <si>
    <t>Haldager Sand Formation</t>
  </si>
  <si>
    <t>DK_F_20121002015118518</t>
  </si>
  <si>
    <t>Skagerrak Formation</t>
  </si>
  <si>
    <t>Reference sction lower part borehole D-1x, upper section borehole F-1x</t>
  </si>
  <si>
    <t>ES_F_20121021201148283</t>
  </si>
  <si>
    <t>Bunter Sandstone (Cantabrian Chain and Duero Basin)</t>
  </si>
  <si>
    <t>ED_1950_UTM_Zone_30N</t>
  </si>
  <si>
    <t>ES_F_20121022131617352</t>
  </si>
  <si>
    <t>Early Jurassic</t>
  </si>
  <si>
    <t>ES_F_20121023122851984</t>
  </si>
  <si>
    <t>Buntsandstein facies (Pyrenees-Ebro Basin)</t>
  </si>
  <si>
    <t>ES_F_20121023132147228</t>
  </si>
  <si>
    <t>Early Cretaceous</t>
  </si>
  <si>
    <t>ES_F_20121023160316601</t>
  </si>
  <si>
    <t>Buntsandstein and Muschelkalk facies (Iberian Chain)</t>
  </si>
  <si>
    <t>mixed lithology (sandstone, dolostone and shale)</t>
  </si>
  <si>
    <t>ES_F_20121023211306533</t>
  </si>
  <si>
    <t>Mesozoic Formations of Bethic Chain and Guadalquivir Basin</t>
  </si>
  <si>
    <t>GR_F_20121028173422377</t>
  </si>
  <si>
    <t>W. Thessaloniki</t>
  </si>
  <si>
    <t>GR_F_20121028174412573</t>
  </si>
  <si>
    <t>Grevena Basin</t>
  </si>
  <si>
    <t>HR</t>
  </si>
  <si>
    <t>IE</t>
  </si>
  <si>
    <t>IE_F_20121003142436271</t>
  </si>
  <si>
    <t>Sherwood Sandstone Kish</t>
  </si>
  <si>
    <t>Kish Bank Basin</t>
  </si>
  <si>
    <t>TM65 Irish Grid</t>
  </si>
  <si>
    <t>IE_F_20121003163102322</t>
  </si>
  <si>
    <t>Sherwood Sandstone CISB</t>
  </si>
  <si>
    <t>CISB, closures on Irish side of basin reported</t>
  </si>
  <si>
    <t>IT_F_20121001124148805</t>
  </si>
  <si>
    <t>Casirate 1 - Lombardia 1</t>
  </si>
  <si>
    <t>x: long - y: lat - WGS84</t>
  </si>
  <si>
    <t>IT_F_20121003174905644</t>
  </si>
  <si>
    <t>Pandino 1 - Lombardia 2</t>
  </si>
  <si>
    <t>IT_F_20121004153029368</t>
  </si>
  <si>
    <t>Poggio Rusco 1 - Lombardia 3</t>
  </si>
  <si>
    <t>IT_F_20121004163430395</t>
  </si>
  <si>
    <t>S.Pietro in Casale 3 - Emilia 1</t>
  </si>
  <si>
    <t>IT_F_20121009153149008</t>
  </si>
  <si>
    <t>Filetto1 - Emilia 2</t>
  </si>
  <si>
    <t>IT_F_20121010122552181</t>
  </si>
  <si>
    <t>Serena Nord 1 - Emilia mare</t>
  </si>
  <si>
    <t>IT_F_20121010135221305</t>
  </si>
  <si>
    <t>Jesi 6 - Marche 1</t>
  </si>
  <si>
    <t>IT_F_20121010141900087</t>
  </si>
  <si>
    <t>Notaresco 1 - Abruzzi 1</t>
  </si>
  <si>
    <t>IT_F_20121010145802588</t>
  </si>
  <si>
    <t>Pomarico 7 - Basilicata 1</t>
  </si>
  <si>
    <t>IT_F_20121010152539660</t>
  </si>
  <si>
    <t>Licia 1 - Calabria 1</t>
  </si>
  <si>
    <t>IT_F_20121010153841021</t>
  </si>
  <si>
    <t>Lara 1 - Calabria mare 1</t>
  </si>
  <si>
    <t>IT_F_20121010165100811</t>
  </si>
  <si>
    <t>Fosca 1 - Calabria mare 2</t>
  </si>
  <si>
    <t>IT_F_20121010170832724</t>
  </si>
  <si>
    <t>Biddusa 2 - Sicilia 1</t>
  </si>
  <si>
    <t>IT_F_20121010172946255</t>
  </si>
  <si>
    <t>Furci 9 - Abruzzi 2</t>
  </si>
  <si>
    <t>LT</t>
  </si>
  <si>
    <t>LT_F_20121003145626765</t>
  </si>
  <si>
    <t>Cambrian</t>
  </si>
  <si>
    <t>Quartz sandstone mainly fine-grained, rare shales</t>
  </si>
  <si>
    <t>WGS-84</t>
  </si>
  <si>
    <t>LV</t>
  </si>
  <si>
    <t>LV_F_20121008163124647</t>
  </si>
  <si>
    <t>Middle Cambrian Deimena Sandstone Formation</t>
  </si>
  <si>
    <t>Small hydrocarbon fields could be in the offshore structures, but oil exploitation has not yet started</t>
  </si>
  <si>
    <t>GCS-WGS-84</t>
  </si>
  <si>
    <t>MK</t>
  </si>
  <si>
    <t>MK_F_20121001093332591</t>
  </si>
  <si>
    <t>Ergelija basin</t>
  </si>
  <si>
    <t>Explorated for hydrocarbon traps</t>
  </si>
  <si>
    <t>Macedonian Transverse Mercator</t>
  </si>
  <si>
    <t>MK_F_20121001122911657</t>
  </si>
  <si>
    <t>Sveti Nikole basin</t>
  </si>
  <si>
    <t>MK_F_20121001135515395</t>
  </si>
  <si>
    <t>Veles basin</t>
  </si>
  <si>
    <t>NO</t>
  </si>
  <si>
    <t>NO_F_20120831124232138</t>
  </si>
  <si>
    <t>Utsira and Skade</t>
  </si>
  <si>
    <t>ED_1950_UTM_Zone_31N</t>
  </si>
  <si>
    <t>NO_F_20121106103651359</t>
  </si>
  <si>
    <t>Bryne and Sandnes</t>
  </si>
  <si>
    <t>NO_F_20121106104641695</t>
  </si>
  <si>
    <t>Krossfjord, Fensfjord and Sognefjord</t>
  </si>
  <si>
    <t>NO_F_20121106105012282</t>
  </si>
  <si>
    <t>Statfjord</t>
  </si>
  <si>
    <t>NO_F_20121106131137919</t>
  </si>
  <si>
    <t>Gassum</t>
  </si>
  <si>
    <t>NO_F_20121106131503819</t>
  </si>
  <si>
    <t>Johansen and Cook</t>
  </si>
  <si>
    <t>NO_F_20121106132028120</t>
  </si>
  <si>
    <t>Fiskebank</t>
  </si>
  <si>
    <t>NO_F_20121107102744460</t>
  </si>
  <si>
    <t>Hugin</t>
  </si>
  <si>
    <t>PL</t>
  </si>
  <si>
    <t>PL_F_20120806100126138</t>
  </si>
  <si>
    <t>Pulkovo 1942 - Zone 34</t>
  </si>
  <si>
    <t>PL_F_20120808112745233</t>
  </si>
  <si>
    <t>Lower Jurassic</t>
  </si>
  <si>
    <t>PL_F_20120808112825606</t>
  </si>
  <si>
    <t>Lower Triassic</t>
  </si>
  <si>
    <t>RO</t>
  </si>
  <si>
    <t>RO_F_20121018105236206</t>
  </si>
  <si>
    <t>Meotian Formation from Getic Depression</t>
  </si>
  <si>
    <t>UTM35N</t>
  </si>
  <si>
    <t>RO_F_20121018105421026</t>
  </si>
  <si>
    <t>Meotian Formation from Mio-Pliocene Subzone in Muntenia</t>
  </si>
  <si>
    <t>RO_F_20121018110000024</t>
  </si>
  <si>
    <t>Middle Devonian Formation from Moesian Platform</t>
  </si>
  <si>
    <t>RO_F_20121018110105635</t>
  </si>
  <si>
    <t>Middle Jurassic Formation from Moesian Platform</t>
  </si>
  <si>
    <t>RO_F_20121018110153285</t>
  </si>
  <si>
    <t>Miocene Formation from Pannonian Depression</t>
  </si>
  <si>
    <t>RO_F_20121018110221773</t>
  </si>
  <si>
    <t>Pliocene Formation from Pannonian Depression</t>
  </si>
  <si>
    <t>RO_F_20121018110322201</t>
  </si>
  <si>
    <t>Pontian Formation from Moesian Platform</t>
  </si>
  <si>
    <t>RO_F_20121018110406427</t>
  </si>
  <si>
    <t>Sarmatian Formation from Moesian Platform</t>
  </si>
  <si>
    <t>RO_F_20121018110532335</t>
  </si>
  <si>
    <t>Sarmatian Formation from North-Dobroudjan Promontory</t>
  </si>
  <si>
    <t>RO_F_20121018110912872</t>
  </si>
  <si>
    <t>Sarmatian Formation from Getic Depression</t>
  </si>
  <si>
    <t>RO_F_20121018110957022</t>
  </si>
  <si>
    <t>Sarmatian Formation  from Transylvanian Depression</t>
  </si>
  <si>
    <t>RO_F_20121018111058243</t>
  </si>
  <si>
    <t>Upper Burdigalian from Mio-Pliocene Subzone in Muntenia</t>
  </si>
  <si>
    <t>aproximated polygon; real areal extent unknown so far</t>
  </si>
  <si>
    <t>RO_F_20121018112250180</t>
  </si>
  <si>
    <t>Silurian Formation from Moldavian Platform</t>
  </si>
  <si>
    <t>RO_F_20121018120046907</t>
  </si>
  <si>
    <t>Sarmatian Formation from Moldavian Platform</t>
  </si>
  <si>
    <t>RO_F_20121018123247776</t>
  </si>
  <si>
    <t>Burdigalian Formation from Miocene Subzone in Moldavia</t>
  </si>
  <si>
    <t>polygon aproximated; real areal extent unknown</t>
  </si>
  <si>
    <t>SI</t>
  </si>
  <si>
    <t>SI_F_20120926161118847</t>
  </si>
  <si>
    <t>Lendava Fm (LF)</t>
  </si>
  <si>
    <t>LF is widespread in the Pann. B. of NE Slo. It is several 100m thick consisting of sandstones &amp; marls. In Lendava-Petisovci area it contains 4 sandst. storage units (Petisovci., Lovaszi …) 50-80m thich incl. oil/gas fields at top (&lt;4m thick,lenticular).</t>
  </si>
  <si>
    <t>Gauss-Kruger</t>
  </si>
  <si>
    <t>SK</t>
  </si>
  <si>
    <t>SK_F_20121005094655531</t>
  </si>
  <si>
    <t>TransCarpathian basin Sarmathian</t>
  </si>
  <si>
    <t>Lambert conformal conic</t>
  </si>
  <si>
    <t>SK_F_20121005103210921</t>
  </si>
  <si>
    <t>Sered</t>
  </si>
  <si>
    <t>natural deposit of CO2, planned underground gas storage</t>
  </si>
  <si>
    <t>SK_F_20121005103339437</t>
  </si>
  <si>
    <t>TransCarpathian Basin Pannonian</t>
  </si>
  <si>
    <t>SK_F_20121023085542453</t>
  </si>
  <si>
    <t>Central Carpathian Paleogene</t>
  </si>
  <si>
    <t>special event - there is not developed aquifer</t>
  </si>
  <si>
    <t>SK_F_20121023115656561</t>
  </si>
  <si>
    <t>Ivanka - Golianovo</t>
  </si>
  <si>
    <t>small gas deposit in exploitation</t>
  </si>
  <si>
    <t>SK_F_20121023122726311</t>
  </si>
  <si>
    <t>Horna Krupa</t>
  </si>
  <si>
    <t>testing for gas exploitation</t>
  </si>
  <si>
    <t>SK_F_20121023123112545</t>
  </si>
  <si>
    <t>Samorin</t>
  </si>
  <si>
    <t>Development planned oil and gas exploitation</t>
  </si>
  <si>
    <t>SK_F_20121023124959451</t>
  </si>
  <si>
    <t>Cifer</t>
  </si>
  <si>
    <t>CO2 natural deposit with small content of methane</t>
  </si>
  <si>
    <t>SK_F_20121023133144576</t>
  </si>
  <si>
    <t>Nizna</t>
  </si>
  <si>
    <t>SK_F_20121023140811295</t>
  </si>
  <si>
    <t>Spacince</t>
  </si>
  <si>
    <t>SK_F_20121023144954920</t>
  </si>
  <si>
    <t>Trakovice</t>
  </si>
  <si>
    <t>SK_F_20121024083207078</t>
  </si>
  <si>
    <t>Madunice</t>
  </si>
  <si>
    <t>SK_F_20121024090533046</t>
  </si>
  <si>
    <t>Banovce nad Ondavou</t>
  </si>
  <si>
    <t>development planned</t>
  </si>
  <si>
    <t>SK_F_20121024092048437</t>
  </si>
  <si>
    <t>Kravany</t>
  </si>
  <si>
    <t>Private data 3D seismic</t>
  </si>
  <si>
    <t>SK_F_20121024093127750</t>
  </si>
  <si>
    <t>Ptruksa</t>
  </si>
  <si>
    <t>Private data, producing  gas deposit</t>
  </si>
  <si>
    <t>SK_F_20121024094540968</t>
  </si>
  <si>
    <t>Rakovec nad Ondavou</t>
  </si>
  <si>
    <t>SK_F_20121024131353671</t>
  </si>
  <si>
    <t>Senne</t>
  </si>
  <si>
    <t>Private data, producing gas deposit</t>
  </si>
  <si>
    <t>SK_F_20121024132616781</t>
  </si>
  <si>
    <t>Stretava</t>
  </si>
  <si>
    <t>Producing gas deposit, private company, there are secure data - inavailable</t>
  </si>
  <si>
    <t>SK_F_20121024134308890</t>
  </si>
  <si>
    <t>Trebisov</t>
  </si>
  <si>
    <t>private data, development planning</t>
  </si>
  <si>
    <t>SK_F_20121024140106828</t>
  </si>
  <si>
    <t>Trhoviste - Pozdisovce</t>
  </si>
  <si>
    <t>Active gas deposit, private data</t>
  </si>
  <si>
    <t>SK_F_20121024142128734</t>
  </si>
  <si>
    <t>Visnov</t>
  </si>
  <si>
    <t>SK_F_20121024143442828</t>
  </si>
  <si>
    <t>Borsky Jur</t>
  </si>
  <si>
    <t>Development planned</t>
  </si>
  <si>
    <t>SK_F_20121024160916531</t>
  </si>
  <si>
    <t>Gajary - Badenian</t>
  </si>
  <si>
    <t>Producing oil and gas</t>
  </si>
  <si>
    <t>SK_F_20121024163126828</t>
  </si>
  <si>
    <t>Gbely</t>
  </si>
  <si>
    <t>Producing oil</t>
  </si>
  <si>
    <t>SK_F_20121024164350484</t>
  </si>
  <si>
    <t>Gbely B - field</t>
  </si>
  <si>
    <t>Producing oil and gas, privatee</t>
  </si>
  <si>
    <t>SK_F_20121024165324265</t>
  </si>
  <si>
    <t>Jakubov</t>
  </si>
  <si>
    <t>producing field oil and gas- private company</t>
  </si>
  <si>
    <t>SK_F_20121024170412812</t>
  </si>
  <si>
    <t>Jakubov - South</t>
  </si>
  <si>
    <t>Producing gas field</t>
  </si>
  <si>
    <t>SK_F_20121024171447921</t>
  </si>
  <si>
    <t>Kuty</t>
  </si>
  <si>
    <t>Producing gas</t>
  </si>
  <si>
    <t>SK_F_20121024172510140</t>
  </si>
  <si>
    <t>Lab</t>
  </si>
  <si>
    <t>Oil and gas production, private company</t>
  </si>
  <si>
    <t>SK_F_20121025070810718</t>
  </si>
  <si>
    <t>Studienka</t>
  </si>
  <si>
    <t>SK_F_20121025072434968</t>
  </si>
  <si>
    <t>Vysoka</t>
  </si>
  <si>
    <t>Mutual deposit with Austria. Ratio Slovakia/Austria = 1/2. Depleted from Slovakian side</t>
  </si>
  <si>
    <t>SK_F_20121025073834140</t>
  </si>
  <si>
    <t>Zavod</t>
  </si>
  <si>
    <t>Producing oil and gas, private company</t>
  </si>
  <si>
    <t>SK_F_20121025074735609</t>
  </si>
  <si>
    <t>Zavod - Mesozoic</t>
  </si>
  <si>
    <t>Producing gas, private company, data are not available</t>
  </si>
  <si>
    <t>SK_F_20121025104938750</t>
  </si>
  <si>
    <t>Zavod - South - Badenian</t>
  </si>
  <si>
    <t>Producing gaas, private company,</t>
  </si>
  <si>
    <t>EU Innovation Fund</t>
  </si>
  <si>
    <t>PCI_13.11</t>
  </si>
  <si>
    <t>PCI_13.5</t>
  </si>
  <si>
    <t>EU PCI</t>
  </si>
  <si>
    <t>IF_101191313</t>
  </si>
  <si>
    <t>Terragona</t>
  </si>
  <si>
    <t>Revithousa</t>
  </si>
  <si>
    <t>Saline Aquifer</t>
  </si>
  <si>
    <t>Article_G4</t>
  </si>
  <si>
    <t>Klara</t>
  </si>
  <si>
    <t>Kate</t>
  </si>
  <si>
    <t>Perina</t>
  </si>
  <si>
    <t>Drilled</t>
  </si>
  <si>
    <t>UTM 33N EPSG:32633</t>
  </si>
  <si>
    <t>Article_G3</t>
  </si>
  <si>
    <t>Ida Field</t>
  </si>
  <si>
    <t>Ika Field</t>
  </si>
  <si>
    <t>Marica Field</t>
  </si>
  <si>
    <t>Amal Field (Upper Rudies)</t>
  </si>
  <si>
    <t>EG</t>
  </si>
  <si>
    <t>Article_G2</t>
  </si>
  <si>
    <t>Report_L1</t>
  </si>
  <si>
    <t>Dugi Otok_Miocene Sandstone</t>
  </si>
  <si>
    <t>RESERVOIR_THICK_MIN_M</t>
  </si>
  <si>
    <t>RESERVOIR_THICK_MEAN_M</t>
  </si>
  <si>
    <t>RESERVOIR_THICK_MAX_M</t>
  </si>
  <si>
    <t>MIN_SEAL_THICKNESS_M</t>
  </si>
  <si>
    <t>Producing</t>
  </si>
  <si>
    <t>Structure 5</t>
  </si>
  <si>
    <t>APPROX_DEPTH_mTVD</t>
  </si>
  <si>
    <t>TarraCO2</t>
  </si>
  <si>
    <t>TERMINAL</t>
  </si>
  <si>
    <t>SOURCE_ID</t>
  </si>
  <si>
    <t>West Delta Deep Marine Development Lease</t>
  </si>
  <si>
    <t>El-Temsah Development Lease</t>
  </si>
  <si>
    <t>Abu Qir Development Lease</t>
  </si>
  <si>
    <t>Ras El-Barr Development Lease</t>
  </si>
  <si>
    <t>Zohr</t>
  </si>
  <si>
    <t>El Morgan</t>
  </si>
  <si>
    <t>Nooros</t>
  </si>
  <si>
    <t>Baltim Development Lease</t>
  </si>
  <si>
    <t>Belayim Development Lease</t>
  </si>
  <si>
    <t>October</t>
  </si>
  <si>
    <t>July</t>
  </si>
  <si>
    <t>North Port Said Development Lease</t>
  </si>
  <si>
    <t>Rosetta Development Lease</t>
  </si>
  <si>
    <t>Ramadan</t>
  </si>
  <si>
    <t>Ras Budran</t>
  </si>
  <si>
    <t>Zeit Bay</t>
  </si>
  <si>
    <t>Atoll</t>
  </si>
  <si>
    <t>Badri</t>
  </si>
  <si>
    <t>Ashrafi Development Lease</t>
  </si>
  <si>
    <t>Ras Fanar Development Lease</t>
  </si>
  <si>
    <t>Thekah Complex</t>
  </si>
  <si>
    <t>Al-Zaafarana</t>
  </si>
  <si>
    <t>Abandoned</t>
  </si>
  <si>
    <t>AVAILABLE_CAPACITY_MT</t>
  </si>
  <si>
    <t>Kharita</t>
  </si>
  <si>
    <t>Sidi</t>
  </si>
  <si>
    <t>Abu Madi</t>
  </si>
  <si>
    <t>Kafr</t>
  </si>
  <si>
    <t>Matulla</t>
  </si>
  <si>
    <t>Safa</t>
  </si>
  <si>
    <t>Qawasim</t>
  </si>
  <si>
    <t>Alam</t>
  </si>
  <si>
    <t>Nubia</t>
  </si>
  <si>
    <t>Kareem</t>
  </si>
  <si>
    <t>Rudeis</t>
  </si>
  <si>
    <t>El Wastani</t>
  </si>
  <si>
    <t>Tineh</t>
  </si>
  <si>
    <t>Drilled but need more data</t>
  </si>
  <si>
    <t>Undrilled</t>
  </si>
  <si>
    <t>Depleted hydrocarbon field</t>
  </si>
  <si>
    <t>Hydrocarbon field</t>
  </si>
  <si>
    <t>REGION</t>
  </si>
  <si>
    <t>Nile Delta Offshore</t>
  </si>
  <si>
    <t>Gulf of Suez Offshore</t>
  </si>
  <si>
    <t>from the Western Desert through to the Gulf of Suez</t>
  </si>
  <si>
    <t>Western Desert</t>
  </si>
  <si>
    <t>CONFIDENCE_TIER</t>
  </si>
  <si>
    <t>Unknow</t>
  </si>
  <si>
    <t>EPSG</t>
  </si>
  <si>
    <t>GR-1</t>
  </si>
  <si>
    <t>IT-1</t>
  </si>
  <si>
    <t>ES-1</t>
  </si>
  <si>
    <t>EG-2</t>
  </si>
  <si>
    <t>RESERVOIR_CAT</t>
  </si>
  <si>
    <t>x</t>
  </si>
  <si>
    <t>y</t>
  </si>
  <si>
    <t>REMAINING_CAPACITY_MT</t>
  </si>
  <si>
    <t xml:space="preserve">   </t>
  </si>
  <si>
    <t>Report_L3</t>
  </si>
  <si>
    <t>IT-2</t>
  </si>
  <si>
    <t>Jonio</t>
  </si>
  <si>
    <t>Crotone</t>
  </si>
  <si>
    <t>REMAINING_RATIO</t>
  </si>
  <si>
    <t>TN</t>
  </si>
  <si>
    <t>Fd1</t>
  </si>
  <si>
    <t>CURRENT_STATUS</t>
  </si>
  <si>
    <t>Gulf of Gabes</t>
  </si>
  <si>
    <t>Article_G9</t>
  </si>
  <si>
    <t>latitude</t>
  </si>
  <si>
    <t>longitude</t>
  </si>
  <si>
    <t>name</t>
  </si>
  <si>
    <t>data_source</t>
  </si>
  <si>
    <t>group</t>
  </si>
  <si>
    <t>HR-1</t>
  </si>
  <si>
    <t>EG-1</t>
  </si>
  <si>
    <t>iso2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</si>
</sst>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C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8">
    <xf numFmtId="0" fontId="0" fillId="0" borderId="0" xfId="0"/>
    <xf numFmtId="0" fontId="0" fillId="3" borderId="0" xfId="0" applyFill="1"/>
    <xf numFmtId="164" fontId="0" fillId="0" borderId="0" xfId="0" applyNumberFormat="1"/>
    <xf numFmtId="164" fontId="2" fillId="0" borderId="0" xfId="0" applyNumberFormat="1" applyFont="1"/>
    <xf numFmtId="0" fontId="0" fillId="4" borderId="0" xfId="0" applyFill="1"/>
    <xf numFmtId="2" fontId="0" fillId="0" borderId="0" xfId="0" applyNumberFormat="1"/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horizontal="center"/>
    </xf>
    <xf numFmtId="164" fontId="3" fillId="0" borderId="0" xfId="0" applyNumberFormat="1" applyFont="1"/>
    <xf numFmtId="0" fontId="3" fillId="5" borderId="0" xfId="0" applyFont="1" applyFill="1" applyAlignment="1">
      <alignment horizontal="center"/>
    </xf>
    <xf numFmtId="0" fontId="3" fillId="4" borderId="0" xfId="0" applyFont="1" applyFill="1"/>
    <xf numFmtId="165" fontId="3" fillId="0" borderId="0" xfId="0" applyNumberFormat="1" applyFont="1"/>
    <xf numFmtId="165" fontId="5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0" fontId="0" fillId="6" borderId="0" xfId="0" applyFill="1"/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2" fontId="0" fillId="0" borderId="0" xfId="1" applyNumberFormat="1" applyFont="1"/>
    <xf numFmtId="165" fontId="7" fillId="0" borderId="0" xfId="0" applyNumberFormat="1" applyFont="1"/>
    <xf numFmtId="166" fontId="0" fillId="0" borderId="0" xfId="0" applyNumberFormat="1"/>
  </cellXfs>
  <cellStyles count="2">
    <cellStyle name="Normal" xfId="0" builtinId="0"/>
    <cellStyle name="Per 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FF99"/>
      <color rgb="FFFF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utkamon Wongsuvapich" id="{9A8893BD-5618-45ED-A4BE-D5A125094019}" userId="S::DutkamonW@pttep.com::d4e1c7d0-5eb9-485b-b4a6-b9280459a798" providerId="AD"/>
  <person displayName="Wongsuvapich, D. (Dutkamon)" id="{B5ED0D4A-F90C-4ACA-BF25-D90D88240A26}" userId="S::d.wongsuvapich@students.uu.nl::148e9f40-0b93-4979-85e7-cafbb3e095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2-06T23:15:54.50" personId="{B5ED0D4A-F90C-4ACA-BF25-D90D88240A26}" id="{3DE21DBB-1FA1-4988-99DF-90018901F861}">
    <text>Y</text>
  </threadedComment>
  <threadedComment ref="Q1" dT="2026-02-06T19:42:55.28" personId="{B5ED0D4A-F90C-4ACA-BF25-D90D88240A26}" id="{B253C90C-5C34-4C36-83AC-E89575C7DFBF}">
    <text>Some is Min-Mean-Max, Some is P10-P50-P90. So, decided to use Low-Base-High</text>
  </threadedComment>
  <threadedComment ref="AM1" dT="2026-02-09T16:24:33.56" personId="{B5ED0D4A-F90C-4ACA-BF25-D90D88240A26}" id="{3EACA76C-A669-4339-9369-63FD4EF3B75B}">
    <text>Reservoir thickness</text>
  </threadedComment>
  <threadedComment ref="A2" dT="2026-02-08T21:41:05.45" personId="{B5ED0D4A-F90C-4ACA-BF25-D90D88240A26}" id="{162D2BF3-1402-47E1-8F96-CDCF5646A5A4}">
    <text>Green = Confirm project</text>
  </threadedComment>
  <threadedComment ref="Q2" dT="2026-02-08T22:11:00.48" personId="{B5ED0D4A-F90C-4ACA-BF25-D90D88240A26}" id="{152CED79-E006-4BCD-BB7E-507675D29027}">
    <text>CO2StoP = 900/1000/1100</text>
  </threadedComment>
  <threadedComment ref="J3" dT="2026-03-08T21:27:40.53" personId="{9A8893BD-5618-45ED-A4BE-D5A125094019}" id="{4C082E99-BACC-47F0-85AB-07E9AB14F766}">
    <text>https://www.gem.wiki/Porto_Corsini_E_Gas_Field_(Italy)#:~:text=Table%203:%20Field%2Dlevel%20location%20details%20for%20Porto,Concession/Block%2C%20Basin%2C%20Location%2C%20Onshore/Offshore%2C%20Coordinates%20(WGS%2084).</text>
    <extLst>
      <x:ext xmlns:xltc2="http://schemas.microsoft.com/office/spreadsheetml/2020/threadedcomments2" uri="{F7C98A9C-CBB3-438F-8F68-D28B6AF4A901}">
        <xltc2:checksum>3695289232</xltc2:checksum>
        <xltc2:hyperlink startIndex="0" length="218" url="https://www.gem.wiki/Porto_Corsini_E_Gas_Field_(Italy)#:~:text=Table%203:%20Field%2Dlevel%20location%20details%20for%20Porto,Concession/Block%2C%20Basin%2C%20Location%2C%20Onshore/Offshore%2C%20Coordinates%20(WGS%2084)"/>
      </x:ext>
    </extLst>
  </threadedComment>
  <threadedComment ref="J4" dT="2026-02-06T23:54:56.53" personId="{B5ED0D4A-F90C-4ACA-BF25-D90D88240A26}" id="{8C1EE284-D6BE-4B2E-861C-F2ABCEC4B578}">
    <text>Casablanca field</text>
  </threadedComment>
  <threadedComment ref="G6" dT="2026-02-08T23:57:57.40" personId="{B5ED0D4A-F90C-4ACA-BF25-D90D88240A26}" id="{303DDAD7-CF41-4D89-9DE5-D185681E9640}">
    <text>Klara &amp; Kate are in Dugi Otok basin. But these two prospects are deep carbonate complex.</text>
  </threadedComment>
  <threadedComment ref="N6" dT="2026-02-08T22:57:15.56" personId="{B5ED0D4A-F90C-4ACA-BF25-D90D88240A26}" id="{09F5C3A0-435C-4B33-85DF-63AE0DDED8A8}">
    <text>guessing</text>
  </threadedComment>
  <threadedComment ref="J10" dT="2026-02-10T14:32:35.76" personId="{B5ED0D4A-F90C-4ACA-BF25-D90D88240A26}" id="{2843AB07-EA7D-47BB-B4DA-9BB6901D7ED3}">
    <text>Ref: https://www.gem.wiki/Fossil_Gas_Extraction_Sites_in_Europe#Project:_Ika_And_Ida_Gas_Fields</text>
    <extLst>
      <x:ext xmlns:xltc2="http://schemas.microsoft.com/office/spreadsheetml/2020/threadedcomments2" uri="{F7C98A9C-CBB3-438F-8F68-D28B6AF4A901}">
        <xltc2:checksum>1326034313</xltc2:checksum>
        <xltc2:hyperlink startIndex="5" length="90" url="https://www.gem.wiki/Fossil_Gas_Extraction_Sites_in_Europe#Project:_Ika_And_Ida_Gas_Fields"/>
      </x:ext>
    </extLst>
  </threadedComment>
  <threadedComment ref="J11" dT="2026-02-10T14:33:29.15" personId="{B5ED0D4A-F90C-4ACA-BF25-D90D88240A26}" id="{1400A200-1722-4841-A1E4-8DE0CF871339}">
    <text>Approx SW from Ida</text>
  </threadedComment>
  <threadedComment ref="F13" dT="2026-02-09T22:45:37.05" personId="{B5ED0D4A-F90C-4ACA-BF25-D90D88240A26}" id="{CC194455-0C46-4334-AAF6-6DA60131AA12}">
    <text>shallow</text>
  </threadedComment>
  <threadedComment ref="L13" dT="2026-02-10T14:36:45.35" personId="{B5ED0D4A-F90C-4ACA-BF25-D90D88240A26}" id="{DFC74770-6B00-448A-97F9-D5347ED2AF74}">
    <text>Read from map Ref.G4</text>
  </threadedComment>
  <threadedComment ref="AI13" dT="2026-02-10T14:39:13.89" personId="{B5ED0D4A-F90C-4ACA-BF25-D90D88240A26}" id="{0FBE688A-89A1-4520-9A01-5D71C54C56EB}">
    <text>G4 set fracture gradient 0.18 bar/m</text>
  </threadedComment>
  <threadedComment ref="AK14" dT="2026-02-09T23:07:45.11" personId="{B5ED0D4A-F90C-4ACA-BF25-D90D88240A26}" id="{2E0354A1-3416-4334-ABE8-11574C1BFBD6}">
    <text>1900-2800</text>
  </threadedComment>
  <threadedComment ref="AK14" dT="2026-02-09T23:26:19.82" personId="{B5ED0D4A-F90C-4ACA-BF25-D90D88240A26}" id="{A0C6BC23-56FA-4682-AB8F-D727C4C8543B}" parentId="{2E0354A1-3416-4334-ABE8-11574C1BFBD6}">
    <text>1900-2800</text>
  </threadedComment>
  <threadedComment ref="AK14" dT="2026-02-09T23:26:30.68" personId="{B5ED0D4A-F90C-4ACA-BF25-D90D88240A26}" id="{535FA04A-3134-49BC-B986-43037CB0B5CC}" parentId="{2E0354A1-3416-4334-ABE8-11574C1BFBD6}">
    <text>1900-2800</text>
  </threadedComment>
  <threadedComment ref="G15" dT="2026-03-03T19:13:10.70" personId="{9A8893BD-5618-45ED-A4BE-D5A125094019}" id="{CBF58DF6-794F-4476-889B-FE43F16B9859}">
    <text>Hasdrubal concession, Gulf of Gabes</text>
  </threadedComment>
  <threadedComment ref="K15" dT="2026-03-03T19:16:06.20" personId="{9A8893BD-5618-45ED-A4BE-D5A125094019}" id="{F57021BB-6117-4405-8ECD-2209FAD6B73B}">
    <text>GemWiki</text>
  </threadedComment>
  <threadedComment ref="F17" dT="2026-02-18T18:33:28.34" personId="{B5ED0D4A-F90C-4ACA-BF25-D90D88240A26}" id="{E4F186B1-F75B-4E18-B3BB-296B2C057B63}">
    <text>Producing but low remaining --&gt; Turn to --&gt; Depleted reservoir</text>
  </threadedComment>
  <threadedComment ref="J18" dT="2026-02-12T16:28:58.97" personId="{B5ED0D4A-F90C-4ACA-BF25-D90D88240A26}" id="{E655D7CC-58E0-4652-AD7C-DAF3F05BCFFF}">
    <text>Approx. from North Abu Qir PIII</text>
  </threadedComment>
  <threadedComment ref="K19" dT="2026-02-12T17:04:43.51" personId="{B5ED0D4A-F90C-4ACA-BF25-D90D88240A26}" id="{8D0FFDEC-5DF7-47CF-9F26-50988C50AED4}">
    <text>Approx from Baltim E</text>
  </threadedComment>
  <threadedComment ref="J20" dT="2026-02-12T16:01:47.34" personId="{B5ED0D4A-F90C-4ACA-BF25-D90D88240A26}" id="{851011E8-1112-4A2C-9292-5AE6CDE6C4C8}">
    <text>https://www.gem.wiki/Zohr_Gas_Field_(Egypt)#cite_note-autoref_19-22</text>
    <extLst>
      <x:ext xmlns:xltc2="http://schemas.microsoft.com/office/spreadsheetml/2020/threadedcomments2" uri="{F7C98A9C-CBB3-438F-8F68-D28B6AF4A901}">
        <xltc2:checksum>140456049</xltc2:checksum>
        <xltc2:hyperlink startIndex="0" length="67" url="https://www.gem.wiki/Zohr_Gas_Field_(Egypt)#cite_note-autoref_19-22"/>
      </x:ext>
    </extLst>
  </threadedComment>
  <threadedComment ref="J23" dT="2026-02-12T16:30:54.18" personId="{B5ED0D4A-F90C-4ACA-BF25-D90D88240A26}" id="{8251E631-6CB5-4989-ACF2-55F366D6BF8D}">
    <text>From Baltim South West</text>
  </threadedComment>
  <threadedComment ref="J27" dT="2026-02-12T18:17:02.42" personId="{B5ED0D4A-F90C-4ACA-BF25-D90D88240A26}" id="{AF357CFA-FB85-4D78-862C-07951C0048C7}">
    <text>Approx from El Temsah</text>
  </threadedComment>
  <threadedComment ref="J34" dT="2026-02-12T18:21:14.49" personId="{B5ED0D4A-F90C-4ACA-BF25-D90D88240A26}" id="{1902EA7B-874D-4459-9847-BA86BB84ED45}">
    <text>Approx. from Zeit Bay</text>
  </threadedComment>
  <threadedComment ref="J43" dT="2026-02-12T16:49:30.11" personId="{B5ED0D4A-F90C-4ACA-BF25-D90D88240A26}" id="{19C3FC7D-B261-4EFD-9467-0CFBEF3952A8}">
    <text>North Safa</text>
  </threadedComment>
  <threadedComment ref="J45" dT="2026-02-12T16:52:03.76" personId="{B5ED0D4A-F90C-4ACA-BF25-D90D88240A26}" id="{A00B54DB-F11B-4E8B-B2BF-308FCD039CCB}">
    <text>Alam El Shawish West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9741-1CBB-47BD-A214-237C14086230}">
  <sheetPr filterMode="1"/>
  <dimension ref="A1:AP635"/>
  <sheetViews>
    <sheetView tabSelected="1" zoomScale="86" zoomScaleNormal="70" workbookViewId="0">
      <pane xSplit="7" ySplit="1" topLeftCell="T2" activePane="bottomRight" state="frozen"/>
      <selection pane="topRight" activeCell="F1" sqref="F1"/>
      <selection pane="bottomLeft" activeCell="A2" sqref="A2"/>
      <selection pane="bottomRight" activeCell="AC27" sqref="AC27"/>
    </sheetView>
  </sheetViews>
  <sheetFormatPr defaultRowHeight="14.5" x14ac:dyDescent="0.35"/>
  <cols>
    <col min="1" max="1" width="13.81640625" customWidth="1"/>
    <col min="2" max="2" width="9.08984375" customWidth="1"/>
    <col min="3" max="3" width="24.36328125" style="23" customWidth="1"/>
    <col min="4" max="4" width="13.36328125" style="22" customWidth="1"/>
    <col min="5" max="5" width="17.36328125" style="22" customWidth="1"/>
    <col min="6" max="6" width="16.36328125" style="23" customWidth="1"/>
    <col min="7" max="7" width="42.08984375" customWidth="1"/>
    <col min="8" max="8" width="32.08984375" customWidth="1"/>
    <col min="9" max="9" width="26.453125" customWidth="1"/>
    <col min="10" max="10" width="14.36328125" style="2" customWidth="1"/>
    <col min="11" max="11" width="12.36328125" style="2" customWidth="1"/>
    <col min="12" max="12" width="13.7265625" customWidth="1"/>
    <col min="13" max="13" width="16.1796875" customWidth="1"/>
    <col min="14" max="15" width="27.7265625" customWidth="1"/>
    <col min="16" max="16" width="16.26953125" customWidth="1"/>
    <col min="17" max="17" width="8" customWidth="1"/>
    <col min="18" max="19" width="19.6328125" customWidth="1"/>
    <col min="20" max="20" width="17.453125" customWidth="1"/>
    <col min="21" max="21" width="11.7265625" customWidth="1"/>
    <col min="22" max="22" width="14.26953125" style="1" customWidth="1"/>
    <col min="23" max="23" width="13.26953125" style="1" customWidth="1"/>
    <col min="24" max="24" width="13" style="1" customWidth="1"/>
    <col min="25" max="25" width="13.36328125" style="1" customWidth="1"/>
    <col min="26" max="26" width="11" style="1" customWidth="1"/>
    <col min="27" max="27" width="13.08984375" style="1" customWidth="1"/>
    <col min="28" max="28" width="11.54296875" style="1" customWidth="1"/>
    <col min="29" max="29" width="13.7265625" style="1" customWidth="1"/>
    <col min="30" max="30" width="14.54296875" style="4" customWidth="1"/>
    <col min="31" max="31" width="26.54296875" customWidth="1"/>
    <col min="32" max="32" width="28.1796875" customWidth="1"/>
    <col min="33" max="33" width="26.90625" customWidth="1"/>
    <col min="34" max="34" width="22.7265625" customWidth="1"/>
    <col min="35" max="35" width="24.36328125" customWidth="1"/>
    <col min="36" max="36" width="23.08984375" customWidth="1"/>
    <col min="37" max="37" width="14.08984375" customWidth="1"/>
    <col min="38" max="38" width="10.6328125" customWidth="1"/>
    <col min="39" max="39" width="15.26953125" customWidth="1"/>
    <col min="40" max="40" width="8.7265625" customWidth="1"/>
    <col min="42" max="42" width="17.90625" bestFit="1" customWidth="1"/>
  </cols>
  <sheetData>
    <row r="1" spans="1:42" s="6" customFormat="1" ht="86" customHeight="1" x14ac:dyDescent="0.35">
      <c r="A1" s="6" t="s">
        <v>450</v>
      </c>
      <c r="B1" s="6" t="s">
        <v>454</v>
      </c>
      <c r="C1" s="21" t="s">
        <v>378</v>
      </c>
      <c r="D1" s="20" t="s">
        <v>451</v>
      </c>
      <c r="E1" s="20" t="s">
        <v>425</v>
      </c>
      <c r="F1" s="21" t="s">
        <v>432</v>
      </c>
      <c r="G1" s="6" t="s">
        <v>449</v>
      </c>
      <c r="H1" s="6" t="s">
        <v>444</v>
      </c>
      <c r="I1" s="6" t="s">
        <v>9</v>
      </c>
      <c r="J1" s="6" t="s">
        <v>447</v>
      </c>
      <c r="K1" s="6" t="s">
        <v>448</v>
      </c>
      <c r="L1" s="6" t="s">
        <v>433</v>
      </c>
      <c r="M1" s="6" t="s">
        <v>434</v>
      </c>
      <c r="N1" s="6" t="s">
        <v>10</v>
      </c>
      <c r="O1" s="6" t="s">
        <v>427</v>
      </c>
      <c r="P1" s="6" t="s">
        <v>12</v>
      </c>
      <c r="Q1" s="6" t="s">
        <v>13</v>
      </c>
      <c r="R1" s="6" t="s">
        <v>11</v>
      </c>
      <c r="S1" s="6" t="s">
        <v>435</v>
      </c>
      <c r="T1" s="6" t="s">
        <v>402</v>
      </c>
      <c r="U1" s="6" t="s">
        <v>441</v>
      </c>
      <c r="V1" s="7" t="s">
        <v>14</v>
      </c>
      <c r="W1" s="7" t="s">
        <v>15</v>
      </c>
      <c r="X1" s="7" t="s">
        <v>16</v>
      </c>
      <c r="Y1" s="7" t="s">
        <v>17</v>
      </c>
      <c r="Z1" s="7" t="s">
        <v>18</v>
      </c>
      <c r="AA1" s="7" t="s">
        <v>19</v>
      </c>
      <c r="AB1" s="7" t="s">
        <v>20</v>
      </c>
      <c r="AC1" s="7" t="s">
        <v>21</v>
      </c>
      <c r="AD1" s="8" t="s">
        <v>377</v>
      </c>
      <c r="AE1" s="6" t="s">
        <v>22</v>
      </c>
      <c r="AF1" s="6" t="s">
        <v>23</v>
      </c>
      <c r="AG1" s="6" t="s">
        <v>24</v>
      </c>
      <c r="AH1" s="6" t="s">
        <v>25</v>
      </c>
      <c r="AI1" s="6" t="s">
        <v>26</v>
      </c>
      <c r="AJ1" s="6" t="s">
        <v>27</v>
      </c>
      <c r="AK1" s="6" t="s">
        <v>375</v>
      </c>
      <c r="AL1" s="6" t="s">
        <v>369</v>
      </c>
      <c r="AM1" s="6" t="s">
        <v>370</v>
      </c>
      <c r="AN1" s="6" t="s">
        <v>371</v>
      </c>
      <c r="AO1" s="6" t="s">
        <v>372</v>
      </c>
      <c r="AP1" s="6" t="s">
        <v>420</v>
      </c>
    </row>
    <row r="2" spans="1:42" x14ac:dyDescent="0.35">
      <c r="A2" s="18" t="s">
        <v>349</v>
      </c>
      <c r="B2" s="18" t="s">
        <v>3</v>
      </c>
      <c r="C2" s="19" t="s">
        <v>347</v>
      </c>
      <c r="D2" s="22" t="s">
        <v>428</v>
      </c>
      <c r="E2" s="22">
        <v>1</v>
      </c>
      <c r="F2" s="19">
        <v>1</v>
      </c>
      <c r="G2" s="18" t="s">
        <v>4</v>
      </c>
      <c r="H2" t="s">
        <v>5</v>
      </c>
      <c r="I2" t="s">
        <v>30</v>
      </c>
      <c r="J2" s="2">
        <v>40.802035296804902</v>
      </c>
      <c r="K2" s="2">
        <v>24.4553683886739</v>
      </c>
      <c r="L2">
        <v>375095</v>
      </c>
      <c r="M2">
        <v>4826084</v>
      </c>
      <c r="N2" t="s">
        <v>80</v>
      </c>
      <c r="O2" s="24">
        <v>2100</v>
      </c>
      <c r="Q2" s="27">
        <v>66.400000000000006</v>
      </c>
      <c r="V2" s="1">
        <v>2026</v>
      </c>
      <c r="W2" s="1">
        <v>1</v>
      </c>
      <c r="X2" s="1">
        <v>2029</v>
      </c>
      <c r="Y2" s="1">
        <v>2.8</v>
      </c>
      <c r="AD2" s="13" t="s">
        <v>352</v>
      </c>
      <c r="AE2">
        <v>270</v>
      </c>
      <c r="AF2">
        <v>310</v>
      </c>
      <c r="AG2">
        <v>320</v>
      </c>
      <c r="AH2">
        <v>380</v>
      </c>
      <c r="AI2">
        <v>400</v>
      </c>
      <c r="AJ2">
        <v>410</v>
      </c>
      <c r="AK2">
        <v>2400</v>
      </c>
    </row>
    <row r="3" spans="1:42" x14ac:dyDescent="0.35">
      <c r="A3" s="18" t="s">
        <v>349</v>
      </c>
      <c r="B3" s="18" t="s">
        <v>7</v>
      </c>
      <c r="C3" s="19" t="s">
        <v>348</v>
      </c>
      <c r="D3" s="22" t="s">
        <v>429</v>
      </c>
      <c r="E3" s="22">
        <v>1</v>
      </c>
      <c r="F3" s="19">
        <v>1</v>
      </c>
      <c r="G3" s="18" t="s">
        <v>6</v>
      </c>
      <c r="H3" t="s">
        <v>8</v>
      </c>
      <c r="I3" t="s">
        <v>418</v>
      </c>
      <c r="J3" s="2">
        <v>44.387</v>
      </c>
      <c r="K3" s="2">
        <v>12.564</v>
      </c>
      <c r="Q3">
        <v>515</v>
      </c>
      <c r="V3" s="1">
        <v>2024</v>
      </c>
      <c r="W3" s="1">
        <v>2.5000000000000001E-2</v>
      </c>
      <c r="X3" s="1">
        <v>2030</v>
      </c>
      <c r="Y3" s="1">
        <v>4</v>
      </c>
      <c r="Z3" s="1">
        <v>2035</v>
      </c>
      <c r="AA3" s="1">
        <v>12</v>
      </c>
      <c r="AB3" s="1">
        <v>2040</v>
      </c>
      <c r="AC3" s="1">
        <v>16</v>
      </c>
      <c r="AD3" s="13" t="s">
        <v>6</v>
      </c>
    </row>
    <row r="4" spans="1:42" x14ac:dyDescent="0.35">
      <c r="A4" s="18" t="s">
        <v>346</v>
      </c>
      <c r="B4" s="18" t="s">
        <v>0</v>
      </c>
      <c r="C4" s="19" t="s">
        <v>350</v>
      </c>
      <c r="D4" s="22" t="s">
        <v>430</v>
      </c>
      <c r="E4" s="22">
        <v>1</v>
      </c>
      <c r="F4" s="19">
        <v>1</v>
      </c>
      <c r="G4" s="18" t="s">
        <v>376</v>
      </c>
      <c r="H4" t="s">
        <v>1</v>
      </c>
      <c r="I4" t="s">
        <v>353</v>
      </c>
      <c r="J4" s="3">
        <v>40.716999999999999</v>
      </c>
      <c r="K4" s="3">
        <v>1.3583000000000001</v>
      </c>
      <c r="Q4">
        <v>54</v>
      </c>
      <c r="V4" s="1">
        <v>2030</v>
      </c>
      <c r="W4" s="1">
        <v>2</v>
      </c>
      <c r="AD4" s="13" t="s">
        <v>351</v>
      </c>
    </row>
    <row r="5" spans="1:42" x14ac:dyDescent="0.35">
      <c r="A5" s="9" t="s">
        <v>437</v>
      </c>
      <c r="B5" s="9" t="s">
        <v>7</v>
      </c>
      <c r="C5" s="10"/>
      <c r="D5" s="22" t="s">
        <v>438</v>
      </c>
      <c r="E5" s="22">
        <v>4</v>
      </c>
      <c r="F5" s="10">
        <v>2</v>
      </c>
      <c r="G5" s="9" t="s">
        <v>439</v>
      </c>
      <c r="H5" t="s">
        <v>373</v>
      </c>
      <c r="I5" t="s">
        <v>419</v>
      </c>
      <c r="J5" s="3">
        <v>39.114235999999998</v>
      </c>
      <c r="K5" s="3">
        <v>17.181692000000002</v>
      </c>
      <c r="L5" s="5"/>
      <c r="M5" s="5"/>
      <c r="O5">
        <v>32633</v>
      </c>
      <c r="Q5" s="5">
        <v>130</v>
      </c>
      <c r="V5" s="1">
        <v>2040</v>
      </c>
      <c r="AD5" s="4" t="s">
        <v>440</v>
      </c>
      <c r="AK5">
        <v>2200</v>
      </c>
      <c r="AM5">
        <v>570</v>
      </c>
      <c r="AO5">
        <v>1500</v>
      </c>
    </row>
    <row r="6" spans="1:42" x14ac:dyDescent="0.35">
      <c r="A6" s="9" t="s">
        <v>360</v>
      </c>
      <c r="B6" s="9" t="s">
        <v>130</v>
      </c>
      <c r="C6" s="10"/>
      <c r="D6" s="22" t="s">
        <v>452</v>
      </c>
      <c r="E6" s="22">
        <v>4</v>
      </c>
      <c r="F6" s="10">
        <v>2</v>
      </c>
      <c r="G6" s="9" t="s">
        <v>355</v>
      </c>
      <c r="H6" t="s">
        <v>358</v>
      </c>
      <c r="I6" t="s">
        <v>353</v>
      </c>
      <c r="J6" s="3"/>
      <c r="K6" s="3"/>
      <c r="L6" s="5">
        <v>506754.31</v>
      </c>
      <c r="M6" s="5">
        <v>4827017.55</v>
      </c>
      <c r="N6" t="s">
        <v>359</v>
      </c>
      <c r="O6">
        <v>32633</v>
      </c>
      <c r="Q6" s="5">
        <v>38.659999999999997</v>
      </c>
      <c r="AK6">
        <v>2200</v>
      </c>
      <c r="AM6">
        <v>570</v>
      </c>
      <c r="AO6">
        <v>1500</v>
      </c>
    </row>
    <row r="7" spans="1:42" x14ac:dyDescent="0.35">
      <c r="A7" s="9" t="s">
        <v>360</v>
      </c>
      <c r="B7" s="9" t="s">
        <v>130</v>
      </c>
      <c r="C7" s="10"/>
      <c r="D7" s="22" t="s">
        <v>452</v>
      </c>
      <c r="E7" s="22">
        <v>4</v>
      </c>
      <c r="F7" s="10">
        <v>2</v>
      </c>
      <c r="G7" s="9" t="s">
        <v>356</v>
      </c>
      <c r="H7" t="s">
        <v>358</v>
      </c>
      <c r="I7" t="s">
        <v>353</v>
      </c>
      <c r="J7" s="3"/>
      <c r="K7" s="3"/>
      <c r="L7" s="5">
        <v>527360.5</v>
      </c>
      <c r="M7" s="5">
        <v>4828265.5</v>
      </c>
      <c r="N7" t="s">
        <v>359</v>
      </c>
      <c r="O7">
        <v>32633</v>
      </c>
      <c r="Q7" s="5">
        <v>45.3</v>
      </c>
      <c r="AK7">
        <v>2200</v>
      </c>
      <c r="AM7">
        <v>502</v>
      </c>
      <c r="AO7">
        <v>1500</v>
      </c>
    </row>
    <row r="8" spans="1:42" hidden="1" x14ac:dyDescent="0.35">
      <c r="A8" s="9" t="s">
        <v>360</v>
      </c>
      <c r="B8" s="9" t="s">
        <v>130</v>
      </c>
      <c r="C8" s="10"/>
      <c r="E8" s="22">
        <v>4</v>
      </c>
      <c r="F8" s="10">
        <v>2</v>
      </c>
      <c r="G8" s="9" t="s">
        <v>357</v>
      </c>
      <c r="H8" t="s">
        <v>358</v>
      </c>
      <c r="I8" t="s">
        <v>353</v>
      </c>
      <c r="J8" s="3"/>
      <c r="K8" s="3"/>
      <c r="L8" s="5">
        <v>629314.81000000006</v>
      </c>
      <c r="M8" s="5">
        <v>4713082.3600000003</v>
      </c>
      <c r="N8" t="s">
        <v>359</v>
      </c>
      <c r="O8">
        <v>32633</v>
      </c>
      <c r="Q8" s="5">
        <v>7.4</v>
      </c>
      <c r="AK8">
        <v>1300</v>
      </c>
      <c r="AM8">
        <v>52</v>
      </c>
      <c r="AO8">
        <v>200</v>
      </c>
    </row>
    <row r="9" spans="1:42" x14ac:dyDescent="0.35">
      <c r="A9" s="9" t="s">
        <v>354</v>
      </c>
      <c r="B9" s="9" t="s">
        <v>130</v>
      </c>
      <c r="C9" s="10"/>
      <c r="D9" s="22" t="s">
        <v>452</v>
      </c>
      <c r="E9" s="22">
        <v>4</v>
      </c>
      <c r="F9" s="10">
        <v>3</v>
      </c>
      <c r="G9" s="9" t="s">
        <v>368</v>
      </c>
      <c r="H9" t="s">
        <v>416</v>
      </c>
      <c r="I9" t="s">
        <v>353</v>
      </c>
      <c r="J9" s="3"/>
      <c r="K9" s="3"/>
      <c r="L9" s="5">
        <v>517057.40500000003</v>
      </c>
      <c r="M9" s="5">
        <v>4827641.5250000004</v>
      </c>
      <c r="N9" t="s">
        <v>359</v>
      </c>
      <c r="O9">
        <v>32633</v>
      </c>
      <c r="Q9" s="5">
        <v>327.07499999999999</v>
      </c>
      <c r="AF9">
        <v>293.97000000000003</v>
      </c>
      <c r="AK9">
        <v>2923.5</v>
      </c>
    </row>
    <row r="10" spans="1:42" hidden="1" x14ac:dyDescent="0.35">
      <c r="A10" s="9" t="s">
        <v>354</v>
      </c>
      <c r="B10" s="9" t="s">
        <v>130</v>
      </c>
      <c r="C10" s="10"/>
      <c r="E10" s="22">
        <v>4</v>
      </c>
      <c r="F10" s="12">
        <v>4</v>
      </c>
      <c r="G10" s="9" t="s">
        <v>361</v>
      </c>
      <c r="H10" t="s">
        <v>373</v>
      </c>
      <c r="I10" t="s">
        <v>419</v>
      </c>
      <c r="J10" s="11">
        <v>44.489001000000002</v>
      </c>
      <c r="K10" s="11">
        <v>13.853389</v>
      </c>
      <c r="Q10" s="5">
        <v>10.502000000000001</v>
      </c>
      <c r="AK10">
        <v>870</v>
      </c>
    </row>
    <row r="11" spans="1:42" hidden="1" x14ac:dyDescent="0.35">
      <c r="A11" s="9" t="s">
        <v>354</v>
      </c>
      <c r="B11" s="9" t="s">
        <v>130</v>
      </c>
      <c r="C11" s="10"/>
      <c r="E11" s="22">
        <v>4</v>
      </c>
      <c r="F11" s="12">
        <v>4</v>
      </c>
      <c r="G11" s="9" t="s">
        <v>362</v>
      </c>
      <c r="H11" t="s">
        <v>373</v>
      </c>
      <c r="I11" t="s">
        <v>419</v>
      </c>
      <c r="J11" s="3">
        <v>44.48</v>
      </c>
      <c r="K11" s="3">
        <v>13.85</v>
      </c>
      <c r="Q11" s="5">
        <v>11.903</v>
      </c>
      <c r="AK11">
        <v>1300</v>
      </c>
    </row>
    <row r="12" spans="1:42" hidden="1" x14ac:dyDescent="0.35">
      <c r="A12" s="9" t="s">
        <v>354</v>
      </c>
      <c r="B12" s="9" t="s">
        <v>130</v>
      </c>
      <c r="C12" s="10"/>
      <c r="E12" s="22">
        <v>4</v>
      </c>
      <c r="F12" s="12">
        <v>4</v>
      </c>
      <c r="G12" s="9" t="s">
        <v>363</v>
      </c>
      <c r="H12" t="s">
        <v>373</v>
      </c>
      <c r="I12" t="s">
        <v>419</v>
      </c>
      <c r="J12" s="11">
        <v>44.230061999999997</v>
      </c>
      <c r="K12" s="11">
        <v>14.041041999999999</v>
      </c>
      <c r="Q12" s="5">
        <v>9.7070000000000007</v>
      </c>
      <c r="AK12">
        <v>1010</v>
      </c>
    </row>
    <row r="13" spans="1:42" x14ac:dyDescent="0.35">
      <c r="A13" s="9" t="s">
        <v>354</v>
      </c>
      <c r="B13" s="9" t="s">
        <v>130</v>
      </c>
      <c r="C13" s="10"/>
      <c r="D13" s="22" t="s">
        <v>452</v>
      </c>
      <c r="E13" s="22">
        <v>4</v>
      </c>
      <c r="F13" s="12">
        <v>3</v>
      </c>
      <c r="G13" s="9" t="s">
        <v>374</v>
      </c>
      <c r="H13" t="s">
        <v>417</v>
      </c>
      <c r="I13" t="s">
        <v>353</v>
      </c>
      <c r="J13" s="3"/>
      <c r="K13" s="3"/>
      <c r="L13">
        <v>575000</v>
      </c>
      <c r="M13">
        <v>4792000</v>
      </c>
      <c r="N13" t="s">
        <v>359</v>
      </c>
      <c r="O13">
        <v>32633</v>
      </c>
      <c r="Q13" s="5">
        <v>33.950000000000003</v>
      </c>
      <c r="AI13">
        <v>160.19999999999999</v>
      </c>
      <c r="AK13">
        <v>890</v>
      </c>
    </row>
    <row r="14" spans="1:42" hidden="1" x14ac:dyDescent="0.35">
      <c r="A14" s="9" t="s">
        <v>366</v>
      </c>
      <c r="B14" s="9" t="s">
        <v>365</v>
      </c>
      <c r="C14" s="10"/>
      <c r="E14" s="22">
        <v>3</v>
      </c>
      <c r="F14" s="12">
        <v>4</v>
      </c>
      <c r="G14" s="9" t="s">
        <v>364</v>
      </c>
      <c r="H14" t="s">
        <v>373</v>
      </c>
      <c r="I14" t="s">
        <v>419</v>
      </c>
      <c r="J14" s="2">
        <v>28.067</v>
      </c>
      <c r="K14" s="2">
        <v>33.567</v>
      </c>
      <c r="P14">
        <v>3.6</v>
      </c>
      <c r="Q14" s="5">
        <v>20.49</v>
      </c>
      <c r="R14">
        <v>48.5</v>
      </c>
      <c r="AK14">
        <v>2350</v>
      </c>
      <c r="AP14" t="s">
        <v>422</v>
      </c>
    </row>
    <row r="15" spans="1:42" hidden="1" x14ac:dyDescent="0.35">
      <c r="A15" s="9" t="s">
        <v>446</v>
      </c>
      <c r="B15" s="9" t="s">
        <v>442</v>
      </c>
      <c r="C15" s="10"/>
      <c r="E15" s="22">
        <v>3</v>
      </c>
      <c r="F15" s="12">
        <v>2</v>
      </c>
      <c r="G15" s="9" t="s">
        <v>443</v>
      </c>
      <c r="H15" t="s">
        <v>373</v>
      </c>
      <c r="I15" t="s">
        <v>419</v>
      </c>
      <c r="J15" s="2">
        <v>34.159999999999997</v>
      </c>
      <c r="K15" s="2">
        <v>11.59</v>
      </c>
      <c r="Q15" s="5">
        <v>16.5</v>
      </c>
      <c r="AK15">
        <v>3003</v>
      </c>
      <c r="AP15" t="s">
        <v>445</v>
      </c>
    </row>
    <row r="16" spans="1:42" x14ac:dyDescent="0.35">
      <c r="A16" s="9" t="s">
        <v>367</v>
      </c>
      <c r="B16" s="9" t="s">
        <v>365</v>
      </c>
      <c r="C16" s="10"/>
      <c r="D16" s="22" t="s">
        <v>453</v>
      </c>
      <c r="E16" s="22">
        <v>4</v>
      </c>
      <c r="F16" s="10">
        <v>2</v>
      </c>
      <c r="G16" s="9" t="s">
        <v>379</v>
      </c>
      <c r="H16" t="s">
        <v>373</v>
      </c>
      <c r="I16" t="s">
        <v>419</v>
      </c>
      <c r="J16" s="14">
        <v>31.9725</v>
      </c>
      <c r="K16" s="14">
        <v>30.347000000000001</v>
      </c>
      <c r="Q16" s="5">
        <v>221.84</v>
      </c>
      <c r="S16" s="5">
        <v>19.509999999999991</v>
      </c>
      <c r="T16">
        <v>202.33</v>
      </c>
      <c r="U16" s="25">
        <f>S16/Q16</f>
        <v>8.7946267580237963E-2</v>
      </c>
      <c r="AP16" t="s">
        <v>421</v>
      </c>
    </row>
    <row r="17" spans="1:42" x14ac:dyDescent="0.35">
      <c r="A17" s="9" t="s">
        <v>367</v>
      </c>
      <c r="B17" s="9" t="s">
        <v>365</v>
      </c>
      <c r="C17" s="10"/>
      <c r="D17" s="22" t="s">
        <v>431</v>
      </c>
      <c r="E17" s="22">
        <v>4</v>
      </c>
      <c r="F17" s="10">
        <v>2</v>
      </c>
      <c r="G17" s="9" t="s">
        <v>380</v>
      </c>
      <c r="H17" t="s">
        <v>373</v>
      </c>
      <c r="I17" t="s">
        <v>419</v>
      </c>
      <c r="J17" s="15">
        <v>31.617999999999999</v>
      </c>
      <c r="K17" s="15">
        <v>32.381999999999998</v>
      </c>
      <c r="Q17" s="5">
        <v>77</v>
      </c>
      <c r="S17" s="5">
        <v>2.0799999999999983</v>
      </c>
      <c r="T17">
        <v>74.92</v>
      </c>
      <c r="U17" s="25">
        <f t="shared" ref="U17:U37" si="0">S17/Q17</f>
        <v>2.7012987012986992E-2</v>
      </c>
      <c r="AP17" t="s">
        <v>421</v>
      </c>
    </row>
    <row r="18" spans="1:42" x14ac:dyDescent="0.35">
      <c r="A18" s="9" t="s">
        <v>367</v>
      </c>
      <c r="B18" s="9" t="s">
        <v>365</v>
      </c>
      <c r="C18" s="10"/>
      <c r="D18" s="22" t="s">
        <v>453</v>
      </c>
      <c r="E18" s="22">
        <v>4</v>
      </c>
      <c r="F18" s="10">
        <v>2</v>
      </c>
      <c r="G18" s="9" t="s">
        <v>381</v>
      </c>
      <c r="H18" t="s">
        <v>373</v>
      </c>
      <c r="I18" t="s">
        <v>419</v>
      </c>
      <c r="J18" s="26">
        <v>31.478300000000001</v>
      </c>
      <c r="K18" s="26">
        <v>30.189299999999999</v>
      </c>
      <c r="Q18" s="5">
        <v>101.31</v>
      </c>
      <c r="S18" s="5">
        <v>28.950000000000003</v>
      </c>
      <c r="T18">
        <v>72.36</v>
      </c>
      <c r="U18" s="25">
        <f t="shared" si="0"/>
        <v>0.28575658868818482</v>
      </c>
      <c r="AP18" t="s">
        <v>421</v>
      </c>
    </row>
    <row r="19" spans="1:42" x14ac:dyDescent="0.35">
      <c r="A19" s="9" t="s">
        <v>367</v>
      </c>
      <c r="B19" s="9" t="s">
        <v>365</v>
      </c>
      <c r="C19" s="10"/>
      <c r="D19" s="22" t="s">
        <v>431</v>
      </c>
      <c r="E19" s="22">
        <v>4</v>
      </c>
      <c r="F19" s="10">
        <v>2</v>
      </c>
      <c r="G19" s="9" t="s">
        <v>382</v>
      </c>
      <c r="H19" t="s">
        <v>373</v>
      </c>
      <c r="I19" t="s">
        <v>419</v>
      </c>
      <c r="J19" s="15">
        <v>32.03</v>
      </c>
      <c r="K19" s="15">
        <v>31.5</v>
      </c>
      <c r="Q19" s="5">
        <v>70.66</v>
      </c>
      <c r="S19" s="5">
        <v>2.2000000000000028</v>
      </c>
      <c r="T19">
        <v>68.459999999999994</v>
      </c>
      <c r="U19" s="25">
        <f t="shared" si="0"/>
        <v>3.1135012737050705E-2</v>
      </c>
      <c r="AP19" t="s">
        <v>421</v>
      </c>
    </row>
    <row r="20" spans="1:42" hidden="1" x14ac:dyDescent="0.35">
      <c r="A20" s="9" t="s">
        <v>367</v>
      </c>
      <c r="B20" s="9" t="s">
        <v>365</v>
      </c>
      <c r="C20" s="9"/>
      <c r="E20" s="22">
        <v>4</v>
      </c>
      <c r="F20" s="10">
        <v>4</v>
      </c>
      <c r="G20" s="9" t="s">
        <v>383</v>
      </c>
      <c r="H20" t="s">
        <v>373</v>
      </c>
      <c r="I20" t="s">
        <v>419</v>
      </c>
      <c r="J20" s="16">
        <v>32.363999999999997</v>
      </c>
      <c r="K20" s="16">
        <v>32.863999999999997</v>
      </c>
      <c r="Q20" s="5">
        <v>401.01</v>
      </c>
      <c r="S20" s="5">
        <v>332.87</v>
      </c>
      <c r="T20">
        <v>68.14</v>
      </c>
      <c r="U20" s="25">
        <f t="shared" si="0"/>
        <v>0.83007905039774577</v>
      </c>
      <c r="AP20" t="s">
        <v>383</v>
      </c>
    </row>
    <row r="21" spans="1:42" hidden="1" x14ac:dyDescent="0.35">
      <c r="A21" s="9" t="s">
        <v>367</v>
      </c>
      <c r="B21" s="9" t="s">
        <v>365</v>
      </c>
      <c r="C21" s="10"/>
      <c r="E21" s="22">
        <v>4</v>
      </c>
      <c r="F21" s="10">
        <v>2</v>
      </c>
      <c r="G21" s="9" t="s">
        <v>384</v>
      </c>
      <c r="H21" t="s">
        <v>373</v>
      </c>
      <c r="I21" t="s">
        <v>419</v>
      </c>
      <c r="J21" s="14">
        <v>28.213999999999999</v>
      </c>
      <c r="K21" s="14">
        <v>33.447000000000003</v>
      </c>
      <c r="Q21" s="5">
        <v>63.75</v>
      </c>
      <c r="S21" s="5">
        <v>2.2100000000000009</v>
      </c>
      <c r="T21">
        <v>61.54</v>
      </c>
      <c r="U21" s="25">
        <f t="shared" si="0"/>
        <v>3.4666666666666679E-2</v>
      </c>
      <c r="AP21" t="s">
        <v>422</v>
      </c>
    </row>
    <row r="22" spans="1:42" hidden="1" x14ac:dyDescent="0.35">
      <c r="A22" s="9" t="s">
        <v>367</v>
      </c>
      <c r="B22" s="9" t="s">
        <v>365</v>
      </c>
      <c r="C22" s="9"/>
      <c r="E22" s="22">
        <v>4</v>
      </c>
      <c r="F22" s="10">
        <v>2</v>
      </c>
      <c r="G22" s="9" t="s">
        <v>385</v>
      </c>
      <c r="H22" t="s">
        <v>373</v>
      </c>
      <c r="I22" t="s">
        <v>419</v>
      </c>
      <c r="J22" s="15">
        <v>31.709</v>
      </c>
      <c r="K22" s="15">
        <v>30.984999999999999</v>
      </c>
      <c r="Q22" s="5">
        <v>93.1</v>
      </c>
      <c r="S22" s="5">
        <v>45.239999999999995</v>
      </c>
      <c r="T22">
        <v>47.86</v>
      </c>
      <c r="U22" s="25">
        <f t="shared" si="0"/>
        <v>0.48592910848549942</v>
      </c>
      <c r="AP22" t="s">
        <v>421</v>
      </c>
    </row>
    <row r="23" spans="1:42" x14ac:dyDescent="0.35">
      <c r="A23" s="9" t="s">
        <v>367</v>
      </c>
      <c r="B23" s="9" t="s">
        <v>365</v>
      </c>
      <c r="C23" s="10"/>
      <c r="D23" s="22" t="s">
        <v>453</v>
      </c>
      <c r="E23" s="22">
        <v>4</v>
      </c>
      <c r="F23" s="10">
        <v>2</v>
      </c>
      <c r="G23" s="9" t="s">
        <v>386</v>
      </c>
      <c r="H23" t="s">
        <v>373</v>
      </c>
      <c r="I23" t="s">
        <v>419</v>
      </c>
      <c r="J23" s="15">
        <v>32.101999999999997</v>
      </c>
      <c r="K23" s="15">
        <v>31.05</v>
      </c>
      <c r="Q23" s="5">
        <v>46.11</v>
      </c>
      <c r="S23" s="5">
        <v>11.579999999999998</v>
      </c>
      <c r="T23">
        <v>34.53</v>
      </c>
      <c r="U23" s="25">
        <f t="shared" si="0"/>
        <v>0.25113858165256991</v>
      </c>
      <c r="AP23" t="s">
        <v>421</v>
      </c>
    </row>
    <row r="24" spans="1:42" hidden="1" x14ac:dyDescent="0.35">
      <c r="A24" s="9" t="s">
        <v>367</v>
      </c>
      <c r="B24" s="9" t="s">
        <v>365</v>
      </c>
      <c r="C24" s="10"/>
      <c r="E24" s="22">
        <v>4</v>
      </c>
      <c r="F24" s="10">
        <v>2</v>
      </c>
      <c r="G24" s="9" t="s">
        <v>387</v>
      </c>
      <c r="H24" t="s">
        <v>373</v>
      </c>
      <c r="I24" t="s">
        <v>419</v>
      </c>
      <c r="J24" s="14">
        <v>28.619700000000002</v>
      </c>
      <c r="K24" s="14">
        <v>33.207599999999999</v>
      </c>
      <c r="Q24" s="5">
        <v>36.909999999999997</v>
      </c>
      <c r="S24" s="5">
        <v>3.0499999999999972</v>
      </c>
      <c r="T24">
        <v>33.86</v>
      </c>
      <c r="U24" s="25">
        <f t="shared" si="0"/>
        <v>8.2633432674071999E-2</v>
      </c>
      <c r="AP24" t="s">
        <v>422</v>
      </c>
    </row>
    <row r="25" spans="1:42" hidden="1" x14ac:dyDescent="0.35">
      <c r="A25" s="9" t="s">
        <v>367</v>
      </c>
      <c r="B25" s="9" t="s">
        <v>365</v>
      </c>
      <c r="C25" s="10"/>
      <c r="E25" s="22">
        <v>4</v>
      </c>
      <c r="F25" s="10">
        <v>2</v>
      </c>
      <c r="G25" s="9" t="s">
        <v>388</v>
      </c>
      <c r="H25" t="s">
        <v>373</v>
      </c>
      <c r="I25" t="s">
        <v>419</v>
      </c>
      <c r="J25" s="15">
        <v>28.815999999999999</v>
      </c>
      <c r="K25" s="15">
        <v>33.06</v>
      </c>
      <c r="Q25" s="5">
        <v>32.1</v>
      </c>
      <c r="S25" s="5">
        <v>0.42000000000000171</v>
      </c>
      <c r="T25">
        <v>31.68</v>
      </c>
      <c r="U25" s="25">
        <f t="shared" si="0"/>
        <v>1.3084112149532763E-2</v>
      </c>
      <c r="AP25" t="s">
        <v>422</v>
      </c>
    </row>
    <row r="26" spans="1:42" hidden="1" x14ac:dyDescent="0.35">
      <c r="A26" s="9" t="s">
        <v>367</v>
      </c>
      <c r="B26" s="9" t="s">
        <v>365</v>
      </c>
      <c r="C26" s="10"/>
      <c r="E26" s="22">
        <v>4</v>
      </c>
      <c r="F26" s="10">
        <v>2</v>
      </c>
      <c r="G26" s="9" t="s">
        <v>389</v>
      </c>
      <c r="H26" t="s">
        <v>373</v>
      </c>
      <c r="I26" t="s">
        <v>419</v>
      </c>
      <c r="J26" s="15">
        <v>28.228200000000001</v>
      </c>
      <c r="K26" s="15">
        <v>33.240900000000003</v>
      </c>
      <c r="Q26" s="5">
        <v>30.95</v>
      </c>
      <c r="S26" s="5">
        <v>5.0000000000000711E-2</v>
      </c>
      <c r="T26">
        <v>30.9</v>
      </c>
      <c r="U26" s="25">
        <f t="shared" si="0"/>
        <v>1.6155088852988922E-3</v>
      </c>
      <c r="AP26" t="s">
        <v>422</v>
      </c>
    </row>
    <row r="27" spans="1:42" x14ac:dyDescent="0.35">
      <c r="A27" s="9" t="s">
        <v>367</v>
      </c>
      <c r="B27" s="9" t="s">
        <v>365</v>
      </c>
      <c r="C27" s="10"/>
      <c r="D27" s="22" t="s">
        <v>431</v>
      </c>
      <c r="E27" s="22">
        <v>4</v>
      </c>
      <c r="F27" s="10">
        <v>2</v>
      </c>
      <c r="G27" s="9" t="s">
        <v>390</v>
      </c>
      <c r="H27" t="s">
        <v>373</v>
      </c>
      <c r="I27" t="s">
        <v>419</v>
      </c>
      <c r="J27" s="15">
        <v>31.8</v>
      </c>
      <c r="K27" s="15">
        <v>32.1</v>
      </c>
      <c r="Q27" s="5">
        <v>31.45</v>
      </c>
      <c r="S27" s="5">
        <v>1.1899999999999977</v>
      </c>
      <c r="T27">
        <v>30.26</v>
      </c>
      <c r="U27" s="25">
        <f t="shared" si="0"/>
        <v>3.7837837837837764E-2</v>
      </c>
      <c r="AP27" t="s">
        <v>421</v>
      </c>
    </row>
    <row r="28" spans="1:42" x14ac:dyDescent="0.35">
      <c r="A28" s="9" t="s">
        <v>367</v>
      </c>
      <c r="B28" s="9" t="s">
        <v>365</v>
      </c>
      <c r="C28" s="10"/>
      <c r="D28" s="22" t="s">
        <v>453</v>
      </c>
      <c r="E28" s="22">
        <v>4</v>
      </c>
      <c r="F28" s="10">
        <v>2</v>
      </c>
      <c r="G28" s="9" t="s">
        <v>391</v>
      </c>
      <c r="H28" t="s">
        <v>401</v>
      </c>
      <c r="I28" t="s">
        <v>419</v>
      </c>
      <c r="J28" s="15">
        <v>32.248533000000002</v>
      </c>
      <c r="K28" s="15">
        <v>30.591407</v>
      </c>
      <c r="Q28" s="5">
        <v>29.17</v>
      </c>
      <c r="S28" s="5">
        <v>0</v>
      </c>
      <c r="T28">
        <v>29.17</v>
      </c>
      <c r="U28" s="25">
        <f t="shared" si="0"/>
        <v>0</v>
      </c>
      <c r="AP28" t="s">
        <v>421</v>
      </c>
    </row>
    <row r="29" spans="1:42" hidden="1" x14ac:dyDescent="0.35">
      <c r="A29" s="9" t="s">
        <v>367</v>
      </c>
      <c r="B29" s="9" t="s">
        <v>365</v>
      </c>
      <c r="C29" s="10"/>
      <c r="E29" s="22">
        <v>4</v>
      </c>
      <c r="F29" s="10">
        <v>2</v>
      </c>
      <c r="G29" s="9" t="s">
        <v>392</v>
      </c>
      <c r="H29" t="s">
        <v>373</v>
      </c>
      <c r="I29" t="s">
        <v>419</v>
      </c>
      <c r="J29" s="15">
        <v>28.588000000000001</v>
      </c>
      <c r="K29" s="15">
        <v>33.167000000000002</v>
      </c>
      <c r="Q29" s="5">
        <v>25.02</v>
      </c>
      <c r="S29" s="5">
        <v>3.9999999999999147E-2</v>
      </c>
      <c r="T29">
        <v>24.98</v>
      </c>
      <c r="U29" s="25">
        <f t="shared" si="0"/>
        <v>1.5987210231814208E-3</v>
      </c>
      <c r="AP29" t="s">
        <v>422</v>
      </c>
    </row>
    <row r="30" spans="1:42" hidden="1" x14ac:dyDescent="0.35">
      <c r="A30" s="9" t="s">
        <v>367</v>
      </c>
      <c r="B30" s="9" t="s">
        <v>365</v>
      </c>
      <c r="C30" s="10"/>
      <c r="E30" s="22">
        <v>4</v>
      </c>
      <c r="F30" s="10">
        <v>2</v>
      </c>
      <c r="G30" s="9" t="s">
        <v>393</v>
      </c>
      <c r="H30" t="s">
        <v>373</v>
      </c>
      <c r="I30" t="s">
        <v>419</v>
      </c>
      <c r="J30" s="15">
        <v>28.934000000000001</v>
      </c>
      <c r="K30" s="15">
        <v>33.240900000000003</v>
      </c>
      <c r="Q30" s="5">
        <v>12.34</v>
      </c>
      <c r="S30" s="5">
        <v>5.0000000000000711E-2</v>
      </c>
      <c r="T30">
        <v>12.29</v>
      </c>
      <c r="U30" s="25">
        <f t="shared" si="0"/>
        <v>4.0518638573744502E-3</v>
      </c>
      <c r="AP30" t="s">
        <v>422</v>
      </c>
    </row>
    <row r="31" spans="1:42" hidden="1" x14ac:dyDescent="0.35">
      <c r="A31" s="9" t="s">
        <v>367</v>
      </c>
      <c r="B31" s="9" t="s">
        <v>365</v>
      </c>
      <c r="C31" s="10"/>
      <c r="E31" s="22">
        <v>4</v>
      </c>
      <c r="F31" s="10">
        <v>2</v>
      </c>
      <c r="G31" s="9" t="s">
        <v>394</v>
      </c>
      <c r="H31" t="s">
        <v>373</v>
      </c>
      <c r="I31" t="s">
        <v>419</v>
      </c>
      <c r="J31" s="15">
        <v>27.7182</v>
      </c>
      <c r="K31" s="15">
        <v>33.240900000000003</v>
      </c>
      <c r="Q31" s="5">
        <v>12.08</v>
      </c>
      <c r="S31" s="5">
        <v>1.9999999999999574E-2</v>
      </c>
      <c r="T31">
        <v>12.06</v>
      </c>
      <c r="U31" s="25">
        <f t="shared" si="0"/>
        <v>1.6556291390728123E-3</v>
      </c>
      <c r="AP31" t="s">
        <v>422</v>
      </c>
    </row>
    <row r="32" spans="1:42" hidden="1" x14ac:dyDescent="0.35">
      <c r="A32" s="9" t="s">
        <v>367</v>
      </c>
      <c r="B32" s="9" t="s">
        <v>365</v>
      </c>
      <c r="C32" s="9"/>
      <c r="E32" s="22">
        <v>4</v>
      </c>
      <c r="F32" s="10">
        <v>2</v>
      </c>
      <c r="G32" s="9" t="s">
        <v>395</v>
      </c>
      <c r="H32" t="s">
        <v>373</v>
      </c>
      <c r="I32" t="s">
        <v>419</v>
      </c>
      <c r="J32" s="15">
        <v>32.225700000000003</v>
      </c>
      <c r="K32" s="15">
        <v>31.886299999999999</v>
      </c>
      <c r="Q32" s="5">
        <v>40.68</v>
      </c>
      <c r="S32" s="5">
        <v>29.02</v>
      </c>
      <c r="T32">
        <v>11.66</v>
      </c>
      <c r="U32" s="25">
        <f t="shared" si="0"/>
        <v>0.7133726647000983</v>
      </c>
      <c r="AP32" t="s">
        <v>421</v>
      </c>
    </row>
    <row r="33" spans="1:42" hidden="1" x14ac:dyDescent="0.35">
      <c r="A33" s="9" t="s">
        <v>367</v>
      </c>
      <c r="B33" s="9" t="s">
        <v>365</v>
      </c>
      <c r="C33" s="10"/>
      <c r="E33" s="22">
        <v>4</v>
      </c>
      <c r="F33" s="10">
        <v>2</v>
      </c>
      <c r="G33" s="9" t="s">
        <v>396</v>
      </c>
      <c r="H33" t="s">
        <v>373</v>
      </c>
      <c r="I33" t="s">
        <v>419</v>
      </c>
      <c r="J33" s="15">
        <v>28.285</v>
      </c>
      <c r="K33" s="15">
        <v>33.369999999999997</v>
      </c>
      <c r="Q33" s="5">
        <v>9.02</v>
      </c>
      <c r="S33" s="5">
        <v>9.9999999999999645E-2</v>
      </c>
      <c r="T33">
        <v>8.92</v>
      </c>
      <c r="U33" s="25">
        <f t="shared" si="0"/>
        <v>1.1086474501108608E-2</v>
      </c>
      <c r="AP33" t="s">
        <v>422</v>
      </c>
    </row>
    <row r="34" spans="1:42" hidden="1" x14ac:dyDescent="0.35">
      <c r="A34" s="9" t="s">
        <v>367</v>
      </c>
      <c r="B34" s="9" t="s">
        <v>365</v>
      </c>
      <c r="C34" s="10"/>
      <c r="E34" s="22">
        <v>4</v>
      </c>
      <c r="F34" s="10">
        <v>2</v>
      </c>
      <c r="G34" s="9" t="s">
        <v>397</v>
      </c>
      <c r="H34" t="s">
        <v>373</v>
      </c>
      <c r="I34" t="s">
        <v>419</v>
      </c>
      <c r="J34" s="15">
        <v>27.7</v>
      </c>
      <c r="K34" s="15">
        <v>33.1</v>
      </c>
      <c r="Q34" s="5">
        <v>7.01</v>
      </c>
      <c r="S34" s="5">
        <v>0.16999999999999993</v>
      </c>
      <c r="T34">
        <v>6.84</v>
      </c>
      <c r="U34" s="25">
        <f t="shared" si="0"/>
        <v>2.4251069900142645E-2</v>
      </c>
      <c r="AP34" t="s">
        <v>422</v>
      </c>
    </row>
    <row r="35" spans="1:42" hidden="1" x14ac:dyDescent="0.35">
      <c r="A35" s="9" t="s">
        <v>367</v>
      </c>
      <c r="B35" s="9" t="s">
        <v>365</v>
      </c>
      <c r="C35" s="10"/>
      <c r="E35" s="22">
        <v>4</v>
      </c>
      <c r="F35" s="10">
        <v>2</v>
      </c>
      <c r="G35" s="9" t="s">
        <v>398</v>
      </c>
      <c r="H35" t="s">
        <v>373</v>
      </c>
      <c r="I35" t="s">
        <v>419</v>
      </c>
      <c r="J35" s="15">
        <v>28.406500000000001</v>
      </c>
      <c r="K35" s="15">
        <v>33.080100000000002</v>
      </c>
      <c r="Q35" s="5">
        <v>5.9</v>
      </c>
      <c r="S35" s="5">
        <v>0.5600000000000005</v>
      </c>
      <c r="T35">
        <v>5.34</v>
      </c>
      <c r="U35" s="25">
        <f t="shared" si="0"/>
        <v>9.4915254237288207E-2</v>
      </c>
      <c r="AP35" t="s">
        <v>422</v>
      </c>
    </row>
    <row r="36" spans="1:42" hidden="1" x14ac:dyDescent="0.35">
      <c r="A36" s="9" t="s">
        <v>367</v>
      </c>
      <c r="B36" s="9" t="s">
        <v>365</v>
      </c>
      <c r="C36" s="10"/>
      <c r="E36" s="22">
        <v>4</v>
      </c>
      <c r="F36" s="10">
        <v>2</v>
      </c>
      <c r="G36" s="9" t="s">
        <v>399</v>
      </c>
      <c r="H36" t="s">
        <v>401</v>
      </c>
      <c r="I36" t="s">
        <v>419</v>
      </c>
      <c r="J36" s="17"/>
      <c r="K36" s="17"/>
      <c r="Q36" s="5">
        <v>3.5</v>
      </c>
      <c r="S36" s="5">
        <v>0</v>
      </c>
      <c r="T36">
        <v>3.5</v>
      </c>
      <c r="U36" s="25">
        <f t="shared" si="0"/>
        <v>0</v>
      </c>
      <c r="AP36" t="s">
        <v>421</v>
      </c>
    </row>
    <row r="37" spans="1:42" hidden="1" x14ac:dyDescent="0.35">
      <c r="A37" s="9" t="s">
        <v>367</v>
      </c>
      <c r="B37" s="9" t="s">
        <v>365</v>
      </c>
      <c r="C37" s="10"/>
      <c r="E37" s="22">
        <v>4</v>
      </c>
      <c r="F37" s="10">
        <v>2</v>
      </c>
      <c r="G37" s="9" t="s">
        <v>400</v>
      </c>
      <c r="H37" t="s">
        <v>373</v>
      </c>
      <c r="I37" t="s">
        <v>419</v>
      </c>
      <c r="J37" s="17"/>
      <c r="K37" s="17"/>
      <c r="Q37" s="5">
        <v>2.83</v>
      </c>
      <c r="S37" s="5">
        <v>7.0000000000000284E-2</v>
      </c>
      <c r="T37">
        <v>2.76</v>
      </c>
      <c r="U37" s="25">
        <f t="shared" si="0"/>
        <v>2.4734982332155576E-2</v>
      </c>
      <c r="AP37" t="s">
        <v>422</v>
      </c>
    </row>
    <row r="38" spans="1:42" ht="14.5" hidden="1" customHeight="1" x14ac:dyDescent="0.35">
      <c r="A38" s="9" t="s">
        <v>367</v>
      </c>
      <c r="B38" s="9" t="s">
        <v>365</v>
      </c>
      <c r="C38" s="10"/>
      <c r="E38" s="22">
        <v>4</v>
      </c>
      <c r="F38" s="10">
        <v>3</v>
      </c>
      <c r="G38" s="9" t="s">
        <v>403</v>
      </c>
      <c r="H38" t="s">
        <v>417</v>
      </c>
      <c r="I38" t="s">
        <v>353</v>
      </c>
      <c r="J38" s="17"/>
      <c r="K38" s="17"/>
      <c r="P38">
        <v>119</v>
      </c>
      <c r="Q38" s="5">
        <v>488</v>
      </c>
      <c r="R38">
        <v>1433</v>
      </c>
      <c r="AP38" t="s">
        <v>423</v>
      </c>
    </row>
    <row r="39" spans="1:42" hidden="1" x14ac:dyDescent="0.35">
      <c r="A39" s="9" t="s">
        <v>367</v>
      </c>
      <c r="B39" s="9" t="s">
        <v>365</v>
      </c>
      <c r="C39" s="10"/>
      <c r="E39" s="22">
        <v>4</v>
      </c>
      <c r="F39" s="10">
        <v>3</v>
      </c>
      <c r="G39" s="9" t="s">
        <v>404</v>
      </c>
      <c r="H39" t="s">
        <v>417</v>
      </c>
      <c r="I39" t="s">
        <v>353</v>
      </c>
      <c r="J39" s="17"/>
      <c r="K39" s="17"/>
      <c r="P39">
        <v>14.2</v>
      </c>
      <c r="Q39" s="5">
        <v>57.6</v>
      </c>
      <c r="R39">
        <v>175.4</v>
      </c>
      <c r="AP39" t="s">
        <v>426</v>
      </c>
    </row>
    <row r="40" spans="1:42" hidden="1" x14ac:dyDescent="0.35">
      <c r="A40" s="9" t="s">
        <v>367</v>
      </c>
      <c r="B40" s="9" t="s">
        <v>365</v>
      </c>
      <c r="C40" s="10"/>
      <c r="E40" s="22">
        <v>4</v>
      </c>
      <c r="F40" s="10">
        <v>3</v>
      </c>
      <c r="G40" s="9" t="s">
        <v>405</v>
      </c>
      <c r="H40" t="s">
        <v>417</v>
      </c>
      <c r="I40" t="s">
        <v>353</v>
      </c>
      <c r="J40" s="15"/>
      <c r="K40" s="15"/>
      <c r="P40">
        <v>10.3</v>
      </c>
      <c r="Q40" s="5">
        <v>38.799999999999997</v>
      </c>
      <c r="R40">
        <v>119</v>
      </c>
      <c r="AP40" t="s">
        <v>426</v>
      </c>
    </row>
    <row r="41" spans="1:42" hidden="1" x14ac:dyDescent="0.35">
      <c r="A41" s="9" t="s">
        <v>367</v>
      </c>
      <c r="B41" s="9" t="s">
        <v>365</v>
      </c>
      <c r="C41" s="10"/>
      <c r="E41" s="22">
        <v>4</v>
      </c>
      <c r="F41" s="10">
        <v>3</v>
      </c>
      <c r="G41" s="9" t="s">
        <v>406</v>
      </c>
      <c r="H41" t="s">
        <v>417</v>
      </c>
      <c r="I41" t="s">
        <v>353</v>
      </c>
      <c r="J41" s="17"/>
      <c r="K41" s="17"/>
      <c r="P41">
        <v>2.8</v>
      </c>
      <c r="Q41" s="5">
        <v>13.8</v>
      </c>
      <c r="R41">
        <v>57.5</v>
      </c>
      <c r="AP41" t="s">
        <v>421</v>
      </c>
    </row>
    <row r="42" spans="1:42" hidden="1" x14ac:dyDescent="0.35">
      <c r="A42" s="9" t="s">
        <v>367</v>
      </c>
      <c r="B42" s="9" t="s">
        <v>365</v>
      </c>
      <c r="C42" s="10"/>
      <c r="E42" s="22">
        <v>4</v>
      </c>
      <c r="F42" s="10">
        <v>3</v>
      </c>
      <c r="G42" s="9" t="s">
        <v>407</v>
      </c>
      <c r="H42" t="s">
        <v>417</v>
      </c>
      <c r="I42" t="s">
        <v>353</v>
      </c>
      <c r="J42" s="17"/>
      <c r="K42" s="17"/>
      <c r="P42">
        <v>3.4</v>
      </c>
      <c r="Q42" s="5">
        <v>13.7</v>
      </c>
      <c r="R42">
        <v>42.3</v>
      </c>
      <c r="AP42" t="s">
        <v>422</v>
      </c>
    </row>
    <row r="43" spans="1:42" hidden="1" x14ac:dyDescent="0.35">
      <c r="A43" s="9" t="s">
        <v>367</v>
      </c>
      <c r="B43" s="9" t="s">
        <v>365</v>
      </c>
      <c r="C43" s="10"/>
      <c r="E43" s="22">
        <v>4</v>
      </c>
      <c r="F43" s="10">
        <v>3</v>
      </c>
      <c r="G43" s="9" t="s">
        <v>408</v>
      </c>
      <c r="H43" t="s">
        <v>417</v>
      </c>
      <c r="I43" t="s">
        <v>353</v>
      </c>
      <c r="J43" s="15">
        <v>28.359565228513201</v>
      </c>
      <c r="K43" s="15">
        <v>33.294583888691697</v>
      </c>
      <c r="P43">
        <v>2.9</v>
      </c>
      <c r="Q43" s="5">
        <v>12.8</v>
      </c>
      <c r="R43">
        <v>43.7</v>
      </c>
      <c r="AP43" t="s">
        <v>424</v>
      </c>
    </row>
    <row r="44" spans="1:42" hidden="1" x14ac:dyDescent="0.35">
      <c r="A44" s="9" t="s">
        <v>367</v>
      </c>
      <c r="B44" s="9" t="s">
        <v>365</v>
      </c>
      <c r="C44" s="10"/>
      <c r="E44" s="22">
        <v>4</v>
      </c>
      <c r="F44" s="10">
        <v>3</v>
      </c>
      <c r="G44" s="9" t="s">
        <v>409</v>
      </c>
      <c r="H44" t="s">
        <v>417</v>
      </c>
      <c r="I44" t="s">
        <v>353</v>
      </c>
      <c r="J44" s="17"/>
      <c r="K44" s="17"/>
      <c r="P44">
        <v>2.4</v>
      </c>
      <c r="Q44" s="5">
        <v>10.6</v>
      </c>
      <c r="R44">
        <v>37</v>
      </c>
      <c r="AP44" t="s">
        <v>421</v>
      </c>
    </row>
    <row r="45" spans="1:42" hidden="1" x14ac:dyDescent="0.35">
      <c r="A45" s="9" t="s">
        <v>367</v>
      </c>
      <c r="B45" s="9" t="s">
        <v>365</v>
      </c>
      <c r="C45" s="10"/>
      <c r="E45" s="22">
        <v>4</v>
      </c>
      <c r="F45" s="10">
        <v>3</v>
      </c>
      <c r="G45" s="9" t="s">
        <v>410</v>
      </c>
      <c r="H45" t="s">
        <v>417</v>
      </c>
      <c r="I45" t="s">
        <v>353</v>
      </c>
      <c r="J45" s="15">
        <v>30.091598261281899</v>
      </c>
      <c r="K45" s="15">
        <v>28.167875178043801</v>
      </c>
      <c r="P45">
        <v>2.4</v>
      </c>
      <c r="Q45" s="5">
        <v>9.5</v>
      </c>
      <c r="R45">
        <v>29.3</v>
      </c>
      <c r="AP45" t="s">
        <v>424</v>
      </c>
    </row>
    <row r="46" spans="1:42" hidden="1" x14ac:dyDescent="0.35">
      <c r="A46" s="9" t="s">
        <v>367</v>
      </c>
      <c r="B46" s="9" t="s">
        <v>365</v>
      </c>
      <c r="C46" s="10"/>
      <c r="E46" s="22">
        <v>4</v>
      </c>
      <c r="F46" s="10">
        <v>3</v>
      </c>
      <c r="G46" s="9" t="s">
        <v>411</v>
      </c>
      <c r="H46" t="s">
        <v>417</v>
      </c>
      <c r="I46" t="s">
        <v>353</v>
      </c>
      <c r="J46" s="17"/>
      <c r="K46" s="17"/>
      <c r="P46">
        <v>2.2999999999999998</v>
      </c>
      <c r="Q46" s="5">
        <v>9</v>
      </c>
      <c r="R46">
        <v>28</v>
      </c>
      <c r="AP46" t="s">
        <v>422</v>
      </c>
    </row>
    <row r="47" spans="1:42" hidden="1" x14ac:dyDescent="0.35">
      <c r="A47" s="9" t="s">
        <v>367</v>
      </c>
      <c r="B47" s="9" t="s">
        <v>365</v>
      </c>
      <c r="C47" s="10"/>
      <c r="E47" s="22">
        <v>4</v>
      </c>
      <c r="F47" s="10">
        <v>3</v>
      </c>
      <c r="G47" s="9" t="s">
        <v>412</v>
      </c>
      <c r="H47" t="s">
        <v>417</v>
      </c>
      <c r="I47" t="s">
        <v>353</v>
      </c>
      <c r="J47" s="17"/>
      <c r="K47" s="17"/>
      <c r="P47">
        <v>2</v>
      </c>
      <c r="Q47" s="5">
        <v>8.1999999999999993</v>
      </c>
      <c r="R47">
        <v>24.7</v>
      </c>
      <c r="AP47" t="s">
        <v>422</v>
      </c>
    </row>
    <row r="48" spans="1:42" hidden="1" x14ac:dyDescent="0.35">
      <c r="A48" s="9" t="s">
        <v>367</v>
      </c>
      <c r="B48" s="9" t="s">
        <v>365</v>
      </c>
      <c r="C48" s="10"/>
      <c r="E48" s="22">
        <v>4</v>
      </c>
      <c r="F48" s="10">
        <v>3</v>
      </c>
      <c r="G48" s="9" t="s">
        <v>413</v>
      </c>
      <c r="H48" t="s">
        <v>417</v>
      </c>
      <c r="I48" t="s">
        <v>353</v>
      </c>
      <c r="J48" s="17"/>
      <c r="K48" s="17"/>
      <c r="P48">
        <v>0.6</v>
      </c>
      <c r="Q48" s="5">
        <v>2.5</v>
      </c>
      <c r="R48">
        <v>8.4</v>
      </c>
      <c r="AP48" t="s">
        <v>422</v>
      </c>
    </row>
    <row r="49" spans="1:42" hidden="1" x14ac:dyDescent="0.35">
      <c r="A49" s="9" t="s">
        <v>367</v>
      </c>
      <c r="B49" s="9" t="s">
        <v>365</v>
      </c>
      <c r="C49" s="10"/>
      <c r="E49" s="22">
        <v>4</v>
      </c>
      <c r="F49" s="10">
        <v>3</v>
      </c>
      <c r="G49" s="9" t="s">
        <v>414</v>
      </c>
      <c r="H49" t="s">
        <v>417</v>
      </c>
      <c r="I49" t="s">
        <v>353</v>
      </c>
      <c r="J49" s="17"/>
      <c r="K49" s="17"/>
      <c r="P49">
        <v>0.2</v>
      </c>
      <c r="Q49" s="5">
        <v>1</v>
      </c>
      <c r="R49">
        <v>3.9</v>
      </c>
      <c r="AP49" t="s">
        <v>426</v>
      </c>
    </row>
    <row r="50" spans="1:42" hidden="1" x14ac:dyDescent="0.35">
      <c r="A50" s="9" t="s">
        <v>367</v>
      </c>
      <c r="B50" s="9" t="s">
        <v>365</v>
      </c>
      <c r="C50" s="10"/>
      <c r="E50" s="22">
        <v>4</v>
      </c>
      <c r="F50" s="10">
        <v>3</v>
      </c>
      <c r="G50" s="9" t="s">
        <v>415</v>
      </c>
      <c r="H50" t="s">
        <v>417</v>
      </c>
      <c r="I50" t="s">
        <v>353</v>
      </c>
      <c r="J50" s="17"/>
      <c r="K50" s="17"/>
      <c r="P50">
        <v>0.1</v>
      </c>
      <c r="Q50" s="5">
        <v>0.5</v>
      </c>
      <c r="R50">
        <v>1.4</v>
      </c>
      <c r="AP50" t="s">
        <v>426</v>
      </c>
    </row>
    <row r="51" spans="1:42" hidden="1" x14ac:dyDescent="0.35">
      <c r="A51" t="s">
        <v>2</v>
      </c>
      <c r="B51" t="s">
        <v>28</v>
      </c>
      <c r="C51" s="23" t="s">
        <v>32</v>
      </c>
      <c r="E51" s="22">
        <v>5</v>
      </c>
      <c r="G51" t="s">
        <v>33</v>
      </c>
      <c r="H51" t="s">
        <v>34</v>
      </c>
      <c r="I51" t="s">
        <v>29</v>
      </c>
      <c r="L51" s="2">
        <v>406415.643003</v>
      </c>
      <c r="M51" s="2">
        <v>5324265.9607100002</v>
      </c>
      <c r="N51" t="s">
        <v>31</v>
      </c>
      <c r="O51">
        <v>25833</v>
      </c>
      <c r="Q51">
        <v>13440</v>
      </c>
      <c r="AF51">
        <v>20</v>
      </c>
      <c r="AI51">
        <v>167</v>
      </c>
    </row>
    <row r="52" spans="1:42" hidden="1" x14ac:dyDescent="0.35">
      <c r="A52" t="s">
        <v>2</v>
      </c>
      <c r="B52" t="s">
        <v>28</v>
      </c>
      <c r="C52" s="23" t="s">
        <v>35</v>
      </c>
      <c r="E52" s="22">
        <v>5</v>
      </c>
      <c r="G52" t="s">
        <v>36</v>
      </c>
      <c r="H52" t="s">
        <v>37</v>
      </c>
      <c r="I52" t="s">
        <v>30</v>
      </c>
      <c r="L52" s="2">
        <v>429219.37803299999</v>
      </c>
      <c r="M52" s="2">
        <v>5317758.2999299997</v>
      </c>
      <c r="N52" t="s">
        <v>31</v>
      </c>
      <c r="O52">
        <v>25833</v>
      </c>
      <c r="Q52">
        <v>6100</v>
      </c>
      <c r="AI52">
        <v>190</v>
      </c>
      <c r="AK52">
        <v>1600</v>
      </c>
    </row>
    <row r="53" spans="1:42" hidden="1" x14ac:dyDescent="0.35">
      <c r="A53" t="s">
        <v>2</v>
      </c>
      <c r="B53" t="s">
        <v>28</v>
      </c>
      <c r="C53" s="23" t="s">
        <v>38</v>
      </c>
      <c r="E53" s="22">
        <v>5</v>
      </c>
      <c r="G53" t="s">
        <v>39</v>
      </c>
      <c r="H53" t="s">
        <v>29</v>
      </c>
      <c r="I53" t="s">
        <v>30</v>
      </c>
      <c r="L53" s="2">
        <v>620521.446</v>
      </c>
      <c r="M53" s="2">
        <v>5354639.7819999997</v>
      </c>
      <c r="N53" t="s">
        <v>31</v>
      </c>
      <c r="O53">
        <v>25833</v>
      </c>
      <c r="Q53">
        <v>34.188000000000002</v>
      </c>
      <c r="AI53">
        <v>295.2</v>
      </c>
    </row>
    <row r="54" spans="1:42" hidden="1" x14ac:dyDescent="0.35">
      <c r="A54" t="s">
        <v>2</v>
      </c>
      <c r="B54" t="s">
        <v>40</v>
      </c>
      <c r="C54" s="23" t="s">
        <v>41</v>
      </c>
      <c r="E54" s="22">
        <v>5</v>
      </c>
      <c r="F54" s="23">
        <v>4</v>
      </c>
      <c r="G54" t="s">
        <v>42</v>
      </c>
      <c r="H54" t="s">
        <v>43</v>
      </c>
      <c r="I54" t="s">
        <v>44</v>
      </c>
      <c r="L54" s="2">
        <v>225000</v>
      </c>
      <c r="M54" s="2">
        <v>205000</v>
      </c>
      <c r="N54" t="s">
        <v>45</v>
      </c>
      <c r="O54">
        <v>31370</v>
      </c>
      <c r="P54">
        <v>12</v>
      </c>
      <c r="Q54">
        <v>31</v>
      </c>
      <c r="R54">
        <v>189</v>
      </c>
      <c r="AF54">
        <v>152</v>
      </c>
      <c r="AK54">
        <v>1550</v>
      </c>
    </row>
    <row r="55" spans="1:42" hidden="1" x14ac:dyDescent="0.35">
      <c r="A55" t="s">
        <v>2</v>
      </c>
      <c r="B55" t="s">
        <v>40</v>
      </c>
      <c r="C55" s="23" t="s">
        <v>46</v>
      </c>
      <c r="E55" s="22">
        <v>5</v>
      </c>
      <c r="F55" s="23">
        <v>4</v>
      </c>
      <c r="G55" t="s">
        <v>47</v>
      </c>
      <c r="H55" t="s">
        <v>48</v>
      </c>
      <c r="I55" t="s">
        <v>44</v>
      </c>
      <c r="L55" s="2">
        <v>229000</v>
      </c>
      <c r="M55" s="2">
        <v>209000</v>
      </c>
      <c r="N55" t="s">
        <v>45</v>
      </c>
      <c r="O55">
        <v>31370</v>
      </c>
      <c r="P55">
        <v>18</v>
      </c>
      <c r="Q55">
        <v>33</v>
      </c>
      <c r="R55">
        <v>170</v>
      </c>
      <c r="AE55">
        <v>81</v>
      </c>
      <c r="AF55">
        <v>141</v>
      </c>
      <c r="AG55">
        <v>201</v>
      </c>
      <c r="AK55">
        <v>1400</v>
      </c>
    </row>
    <row r="56" spans="1:42" hidden="1" x14ac:dyDescent="0.35">
      <c r="A56" t="s">
        <v>2</v>
      </c>
      <c r="B56" t="s">
        <v>40</v>
      </c>
      <c r="C56" s="23" t="s">
        <v>49</v>
      </c>
      <c r="E56" s="22">
        <v>5</v>
      </c>
      <c r="F56" s="23">
        <v>4</v>
      </c>
      <c r="G56" t="s">
        <v>50</v>
      </c>
      <c r="H56" t="s">
        <v>51</v>
      </c>
      <c r="I56" t="s">
        <v>44</v>
      </c>
      <c r="L56" s="2">
        <v>198000</v>
      </c>
      <c r="M56" s="2">
        <v>235000</v>
      </c>
      <c r="N56" t="s">
        <v>45</v>
      </c>
      <c r="O56">
        <v>31370</v>
      </c>
      <c r="P56">
        <v>3</v>
      </c>
      <c r="Q56">
        <v>8</v>
      </c>
      <c r="R56">
        <v>71</v>
      </c>
      <c r="AF56">
        <v>72</v>
      </c>
      <c r="AK56">
        <v>775</v>
      </c>
    </row>
    <row r="57" spans="1:42" hidden="1" x14ac:dyDescent="0.35">
      <c r="A57" t="s">
        <v>2</v>
      </c>
      <c r="B57" t="s">
        <v>40</v>
      </c>
      <c r="C57" s="23" t="s">
        <v>52</v>
      </c>
      <c r="E57" s="22">
        <v>5</v>
      </c>
      <c r="F57" s="23">
        <v>4</v>
      </c>
      <c r="G57" t="s">
        <v>53</v>
      </c>
      <c r="H57" t="s">
        <v>54</v>
      </c>
      <c r="I57" t="s">
        <v>44</v>
      </c>
      <c r="L57" s="2">
        <v>174000</v>
      </c>
      <c r="M57" s="2">
        <v>216000</v>
      </c>
      <c r="N57" t="s">
        <v>45</v>
      </c>
      <c r="O57">
        <v>31370</v>
      </c>
      <c r="P57">
        <v>15</v>
      </c>
      <c r="Q57">
        <v>54</v>
      </c>
      <c r="R57">
        <v>489</v>
      </c>
      <c r="AE57">
        <v>31</v>
      </c>
      <c r="AF57">
        <v>141</v>
      </c>
      <c r="AG57">
        <v>251</v>
      </c>
      <c r="AK57">
        <v>1400</v>
      </c>
    </row>
    <row r="58" spans="1:42" hidden="1" x14ac:dyDescent="0.35">
      <c r="A58" t="s">
        <v>2</v>
      </c>
      <c r="B58" t="s">
        <v>40</v>
      </c>
      <c r="C58" s="23" t="s">
        <v>55</v>
      </c>
      <c r="E58" s="22">
        <v>5</v>
      </c>
      <c r="F58" s="23">
        <v>4</v>
      </c>
      <c r="G58" t="s">
        <v>56</v>
      </c>
      <c r="H58" t="s">
        <v>57</v>
      </c>
      <c r="I58" t="s">
        <v>44</v>
      </c>
      <c r="L58" s="2">
        <v>190000</v>
      </c>
      <c r="M58" s="2">
        <v>200000</v>
      </c>
      <c r="N58" t="s">
        <v>45</v>
      </c>
      <c r="O58">
        <v>31370</v>
      </c>
      <c r="P58">
        <v>7</v>
      </c>
      <c r="Q58">
        <v>17</v>
      </c>
      <c r="R58">
        <v>413</v>
      </c>
    </row>
    <row r="59" spans="1:42" hidden="1" x14ac:dyDescent="0.35">
      <c r="A59" t="s">
        <v>2</v>
      </c>
      <c r="B59" t="s">
        <v>40</v>
      </c>
      <c r="C59" s="23" t="s">
        <v>58</v>
      </c>
      <c r="E59" s="22">
        <v>5</v>
      </c>
      <c r="F59" s="23">
        <v>4</v>
      </c>
      <c r="G59" t="s">
        <v>59</v>
      </c>
      <c r="H59" t="s">
        <v>60</v>
      </c>
      <c r="I59" t="s">
        <v>44</v>
      </c>
      <c r="L59" s="2">
        <v>150000</v>
      </c>
      <c r="M59" s="2">
        <v>90000</v>
      </c>
      <c r="N59" t="s">
        <v>45</v>
      </c>
      <c r="O59">
        <v>31370</v>
      </c>
      <c r="P59">
        <v>6</v>
      </c>
      <c r="Q59">
        <v>11</v>
      </c>
      <c r="R59">
        <v>342</v>
      </c>
    </row>
    <row r="60" spans="1:42" hidden="1" x14ac:dyDescent="0.35">
      <c r="A60" t="s">
        <v>2</v>
      </c>
      <c r="B60" t="s">
        <v>40</v>
      </c>
      <c r="C60" s="23" t="s">
        <v>61</v>
      </c>
      <c r="E60" s="22">
        <v>5</v>
      </c>
      <c r="F60" s="23">
        <v>4</v>
      </c>
      <c r="G60" t="s">
        <v>62</v>
      </c>
      <c r="H60" t="s">
        <v>63</v>
      </c>
      <c r="I60" t="s">
        <v>44</v>
      </c>
      <c r="L60" s="2">
        <v>112000</v>
      </c>
      <c r="M60" s="2">
        <v>127000</v>
      </c>
      <c r="N60" t="s">
        <v>45</v>
      </c>
      <c r="O60">
        <v>31370</v>
      </c>
      <c r="P60">
        <v>25</v>
      </c>
      <c r="Q60">
        <v>88</v>
      </c>
      <c r="R60">
        <v>740</v>
      </c>
      <c r="AE60">
        <v>81</v>
      </c>
      <c r="AF60">
        <v>161</v>
      </c>
      <c r="AG60">
        <v>201</v>
      </c>
      <c r="AK60">
        <v>1600</v>
      </c>
    </row>
    <row r="61" spans="1:42" hidden="1" x14ac:dyDescent="0.35">
      <c r="A61" t="s">
        <v>2</v>
      </c>
      <c r="B61" t="s">
        <v>64</v>
      </c>
      <c r="C61" s="23" t="s">
        <v>65</v>
      </c>
      <c r="E61" s="22">
        <v>5</v>
      </c>
      <c r="F61" s="23">
        <v>4</v>
      </c>
      <c r="G61" t="s">
        <v>66</v>
      </c>
      <c r="H61" t="s">
        <v>29</v>
      </c>
      <c r="I61" t="s">
        <v>44</v>
      </c>
      <c r="J61" s="2">
        <v>26.925599999999999</v>
      </c>
      <c r="K61" s="2">
        <v>43.197699999999998</v>
      </c>
      <c r="L61" s="2">
        <v>26.925599999999999</v>
      </c>
      <c r="M61" s="2">
        <v>43.197699999999998</v>
      </c>
      <c r="N61" t="s">
        <v>67</v>
      </c>
      <c r="O61">
        <v>4326</v>
      </c>
      <c r="P61">
        <v>15</v>
      </c>
      <c r="Q61">
        <v>17.5</v>
      </c>
      <c r="R61">
        <v>25</v>
      </c>
      <c r="AE61">
        <v>200</v>
      </c>
      <c r="AF61">
        <v>240</v>
      </c>
      <c r="AG61">
        <v>280</v>
      </c>
      <c r="AH61">
        <v>250</v>
      </c>
      <c r="AI61">
        <v>320</v>
      </c>
      <c r="AJ61">
        <v>380</v>
      </c>
    </row>
    <row r="62" spans="1:42" hidden="1" x14ac:dyDescent="0.35">
      <c r="A62" t="s">
        <v>2</v>
      </c>
      <c r="B62" t="s">
        <v>64</v>
      </c>
      <c r="C62" s="23" t="s">
        <v>68</v>
      </c>
      <c r="E62" s="22">
        <v>5</v>
      </c>
      <c r="G62" t="s">
        <v>69</v>
      </c>
      <c r="H62" t="s">
        <v>29</v>
      </c>
      <c r="I62" t="s">
        <v>30</v>
      </c>
      <c r="J62" s="2">
        <v>24.9406</v>
      </c>
      <c r="K62" s="2">
        <v>43.4649</v>
      </c>
      <c r="L62" s="2">
        <v>24.9406</v>
      </c>
      <c r="M62" s="2">
        <v>43.4649</v>
      </c>
      <c r="N62" t="s">
        <v>67</v>
      </c>
      <c r="O62">
        <v>4326</v>
      </c>
      <c r="P62">
        <v>4</v>
      </c>
      <c r="Q62">
        <v>5.3</v>
      </c>
      <c r="R62">
        <v>8</v>
      </c>
      <c r="AE62">
        <v>180</v>
      </c>
      <c r="AF62">
        <v>200</v>
      </c>
      <c r="AG62">
        <v>220</v>
      </c>
      <c r="AH62">
        <v>200</v>
      </c>
      <c r="AI62">
        <v>230</v>
      </c>
      <c r="AJ62">
        <v>250</v>
      </c>
    </row>
    <row r="63" spans="1:42" hidden="1" x14ac:dyDescent="0.35">
      <c r="A63" t="s">
        <v>2</v>
      </c>
      <c r="B63" t="s">
        <v>64</v>
      </c>
      <c r="C63" s="23" t="s">
        <v>70</v>
      </c>
      <c r="E63" s="22">
        <v>5</v>
      </c>
      <c r="F63" s="23">
        <v>4</v>
      </c>
      <c r="G63" t="s">
        <v>71</v>
      </c>
      <c r="H63" t="s">
        <v>29</v>
      </c>
      <c r="I63" t="s">
        <v>44</v>
      </c>
      <c r="J63" s="2">
        <v>26.226400000000002</v>
      </c>
      <c r="K63" s="2">
        <v>43.3476</v>
      </c>
      <c r="L63" s="2">
        <v>26.226400000000002</v>
      </c>
      <c r="M63" s="2">
        <v>43.3476</v>
      </c>
      <c r="N63" t="s">
        <v>67</v>
      </c>
      <c r="O63">
        <v>4326</v>
      </c>
      <c r="P63">
        <v>18</v>
      </c>
      <c r="Q63">
        <v>21.6</v>
      </c>
      <c r="R63">
        <v>25</v>
      </c>
      <c r="AE63">
        <v>130</v>
      </c>
      <c r="AF63">
        <v>140</v>
      </c>
      <c r="AG63">
        <v>155</v>
      </c>
      <c r="AH63">
        <v>135</v>
      </c>
      <c r="AI63">
        <v>145</v>
      </c>
      <c r="AJ63">
        <v>160</v>
      </c>
    </row>
    <row r="64" spans="1:42" hidden="1" x14ac:dyDescent="0.35">
      <c r="A64" t="s">
        <v>2</v>
      </c>
      <c r="B64" t="s">
        <v>64</v>
      </c>
      <c r="C64" s="23" t="s">
        <v>72</v>
      </c>
      <c r="E64" s="22">
        <v>5</v>
      </c>
      <c r="F64" s="23">
        <v>4</v>
      </c>
      <c r="G64" t="s">
        <v>73</v>
      </c>
      <c r="H64" t="s">
        <v>29</v>
      </c>
      <c r="I64" t="s">
        <v>44</v>
      </c>
      <c r="J64" s="2">
        <v>25.157599999999999</v>
      </c>
      <c r="K64" s="2">
        <v>43.358800000000002</v>
      </c>
      <c r="L64" s="2">
        <v>25.157599999999999</v>
      </c>
      <c r="M64" s="2">
        <v>43.358800000000002</v>
      </c>
      <c r="N64" t="s">
        <v>67</v>
      </c>
      <c r="O64">
        <v>4326</v>
      </c>
      <c r="P64">
        <v>400</v>
      </c>
      <c r="Q64">
        <v>460</v>
      </c>
      <c r="R64">
        <v>550</v>
      </c>
      <c r="AE64">
        <v>75</v>
      </c>
      <c r="AF64">
        <v>90</v>
      </c>
      <c r="AG64">
        <v>100</v>
      </c>
      <c r="AH64">
        <v>75</v>
      </c>
      <c r="AI64">
        <v>90</v>
      </c>
      <c r="AJ64">
        <v>100</v>
      </c>
    </row>
    <row r="65" spans="1:37" hidden="1" x14ac:dyDescent="0.35">
      <c r="A65" t="s">
        <v>2</v>
      </c>
      <c r="B65" t="s">
        <v>64</v>
      </c>
      <c r="C65" s="23" t="s">
        <v>72</v>
      </c>
      <c r="E65" s="22">
        <v>5</v>
      </c>
      <c r="F65" s="23">
        <v>4</v>
      </c>
      <c r="G65" t="s">
        <v>73</v>
      </c>
      <c r="H65" t="s">
        <v>29</v>
      </c>
      <c r="I65" t="s">
        <v>44</v>
      </c>
      <c r="J65" s="2">
        <v>25.157599999999999</v>
      </c>
      <c r="K65" s="2">
        <v>43.358800000000002</v>
      </c>
      <c r="L65" s="2">
        <v>25.157599999999999</v>
      </c>
      <c r="M65" s="2">
        <v>43.358800000000002</v>
      </c>
      <c r="N65" t="s">
        <v>67</v>
      </c>
      <c r="O65">
        <v>4326</v>
      </c>
      <c r="P65">
        <v>1600</v>
      </c>
      <c r="Q65">
        <v>1800</v>
      </c>
      <c r="R65">
        <v>2000</v>
      </c>
      <c r="AE65">
        <v>80</v>
      </c>
      <c r="AF65">
        <v>100</v>
      </c>
      <c r="AG65">
        <v>120</v>
      </c>
      <c r="AH65">
        <v>80</v>
      </c>
      <c r="AI65">
        <v>100</v>
      </c>
      <c r="AJ65">
        <v>120</v>
      </c>
    </row>
    <row r="66" spans="1:37" hidden="1" x14ac:dyDescent="0.35">
      <c r="A66" t="s">
        <v>2</v>
      </c>
      <c r="B66" t="s">
        <v>64</v>
      </c>
      <c r="C66" s="23" t="s">
        <v>74</v>
      </c>
      <c r="E66" s="22">
        <v>5</v>
      </c>
      <c r="F66" s="23">
        <v>4</v>
      </c>
      <c r="G66" t="s">
        <v>75</v>
      </c>
      <c r="H66" t="s">
        <v>29</v>
      </c>
      <c r="I66" t="s">
        <v>44</v>
      </c>
      <c r="J66" s="2">
        <v>26.724799999999998</v>
      </c>
      <c r="K66" s="2">
        <v>42.4878</v>
      </c>
      <c r="L66" s="2">
        <v>26.724799999999998</v>
      </c>
      <c r="M66" s="2">
        <v>42.4878</v>
      </c>
      <c r="N66" t="s">
        <v>67</v>
      </c>
      <c r="O66">
        <v>4326</v>
      </c>
      <c r="P66">
        <v>22</v>
      </c>
      <c r="Q66">
        <v>27</v>
      </c>
      <c r="R66">
        <v>65</v>
      </c>
      <c r="AE66">
        <v>120</v>
      </c>
      <c r="AF66">
        <v>150</v>
      </c>
      <c r="AG66">
        <v>200</v>
      </c>
      <c r="AH66">
        <v>150</v>
      </c>
      <c r="AI66">
        <v>200</v>
      </c>
      <c r="AJ66">
        <v>250</v>
      </c>
    </row>
    <row r="67" spans="1:37" hidden="1" x14ac:dyDescent="0.35">
      <c r="A67" t="s">
        <v>2</v>
      </c>
      <c r="B67" t="s">
        <v>64</v>
      </c>
      <c r="C67" s="23" t="s">
        <v>74</v>
      </c>
      <c r="E67" s="22">
        <v>5</v>
      </c>
      <c r="F67" s="23">
        <v>4</v>
      </c>
      <c r="G67" t="s">
        <v>75</v>
      </c>
      <c r="H67" t="s">
        <v>29</v>
      </c>
      <c r="I67" t="s">
        <v>44</v>
      </c>
      <c r="J67" s="2">
        <v>26.724799999999998</v>
      </c>
      <c r="K67" s="2">
        <v>42.4878</v>
      </c>
      <c r="L67" s="2">
        <v>26.724799999999998</v>
      </c>
      <c r="M67" s="2">
        <v>42.4878</v>
      </c>
      <c r="N67" t="s">
        <v>67</v>
      </c>
      <c r="O67">
        <v>4326</v>
      </c>
      <c r="P67">
        <v>19</v>
      </c>
      <c r="Q67">
        <v>24</v>
      </c>
      <c r="R67">
        <v>86</v>
      </c>
      <c r="AE67">
        <v>120</v>
      </c>
      <c r="AF67">
        <v>150</v>
      </c>
      <c r="AG67">
        <v>200</v>
      </c>
      <c r="AH67">
        <v>150</v>
      </c>
      <c r="AI67">
        <v>200</v>
      </c>
      <c r="AJ67">
        <v>250</v>
      </c>
    </row>
    <row r="68" spans="1:37" hidden="1" x14ac:dyDescent="0.35">
      <c r="A68" t="s">
        <v>2</v>
      </c>
      <c r="B68" t="s">
        <v>64</v>
      </c>
      <c r="C68" s="23" t="s">
        <v>76</v>
      </c>
      <c r="E68" s="22">
        <v>5</v>
      </c>
      <c r="F68" s="23">
        <v>4</v>
      </c>
      <c r="G68" t="s">
        <v>77</v>
      </c>
      <c r="H68" t="s">
        <v>29</v>
      </c>
      <c r="I68" t="s">
        <v>44</v>
      </c>
      <c r="J68" s="2">
        <v>25.327000000000002</v>
      </c>
      <c r="K68" s="2">
        <v>42.1999</v>
      </c>
      <c r="L68" s="2">
        <v>25.327000000000002</v>
      </c>
      <c r="M68" s="2">
        <v>42.1999</v>
      </c>
      <c r="N68" t="s">
        <v>67</v>
      </c>
      <c r="O68">
        <v>4326</v>
      </c>
      <c r="P68">
        <v>80</v>
      </c>
      <c r="Q68">
        <v>85</v>
      </c>
      <c r="R68">
        <v>105</v>
      </c>
      <c r="AE68">
        <v>80</v>
      </c>
      <c r="AF68">
        <v>100</v>
      </c>
      <c r="AG68">
        <v>130</v>
      </c>
      <c r="AH68">
        <v>85</v>
      </c>
      <c r="AI68">
        <v>110</v>
      </c>
      <c r="AJ68">
        <v>140</v>
      </c>
    </row>
    <row r="69" spans="1:37" hidden="1" x14ac:dyDescent="0.35">
      <c r="A69" t="s">
        <v>2</v>
      </c>
      <c r="B69" t="s">
        <v>64</v>
      </c>
      <c r="C69" s="23" t="s">
        <v>76</v>
      </c>
      <c r="E69" s="22">
        <v>5</v>
      </c>
      <c r="F69" s="23">
        <v>4</v>
      </c>
      <c r="G69" t="s">
        <v>77</v>
      </c>
      <c r="H69" t="s">
        <v>29</v>
      </c>
      <c r="I69" t="s">
        <v>44</v>
      </c>
      <c r="J69" s="2">
        <v>25.327000000000002</v>
      </c>
      <c r="K69" s="2">
        <v>42.1999</v>
      </c>
      <c r="L69" s="2">
        <v>25.327000000000002</v>
      </c>
      <c r="M69" s="2">
        <v>42.1999</v>
      </c>
      <c r="N69" t="s">
        <v>67</v>
      </c>
      <c r="O69">
        <v>4326</v>
      </c>
      <c r="P69">
        <v>70</v>
      </c>
      <c r="Q69">
        <v>72</v>
      </c>
      <c r="R69">
        <v>90</v>
      </c>
      <c r="AE69">
        <v>80</v>
      </c>
      <c r="AF69">
        <v>100</v>
      </c>
      <c r="AG69">
        <v>130</v>
      </c>
      <c r="AH69">
        <v>85</v>
      </c>
      <c r="AI69">
        <v>110</v>
      </c>
      <c r="AJ69">
        <v>140</v>
      </c>
    </row>
    <row r="70" spans="1:37" hidden="1" x14ac:dyDescent="0.35">
      <c r="A70" t="s">
        <v>2</v>
      </c>
      <c r="B70" t="s">
        <v>64</v>
      </c>
      <c r="C70" s="23" t="s">
        <v>78</v>
      </c>
      <c r="E70" s="22">
        <v>5</v>
      </c>
      <c r="G70" t="s">
        <v>79</v>
      </c>
      <c r="H70" t="s">
        <v>29</v>
      </c>
      <c r="I70" t="s">
        <v>30</v>
      </c>
      <c r="J70" s="2">
        <v>27.846440000000001</v>
      </c>
      <c r="K70" s="2">
        <v>42.987439999999999</v>
      </c>
      <c r="L70" s="2">
        <v>27.846440000000001</v>
      </c>
      <c r="M70" s="2">
        <v>42.987439999999999</v>
      </c>
      <c r="N70" t="s">
        <v>67</v>
      </c>
      <c r="O70">
        <v>4326</v>
      </c>
      <c r="P70">
        <v>45</v>
      </c>
      <c r="Q70">
        <v>56.16</v>
      </c>
      <c r="R70">
        <v>65</v>
      </c>
      <c r="AE70">
        <v>140</v>
      </c>
      <c r="AF70">
        <v>155</v>
      </c>
      <c r="AG70">
        <v>180</v>
      </c>
      <c r="AH70">
        <v>145</v>
      </c>
      <c r="AI70">
        <v>160</v>
      </c>
      <c r="AJ70">
        <v>190</v>
      </c>
    </row>
    <row r="71" spans="1:37" hidden="1" x14ac:dyDescent="0.35">
      <c r="A71" t="s">
        <v>2</v>
      </c>
      <c r="B71" t="s">
        <v>81</v>
      </c>
      <c r="C71" s="23" t="s">
        <v>82</v>
      </c>
      <c r="E71" s="22">
        <v>5</v>
      </c>
      <c r="F71" s="23">
        <v>4</v>
      </c>
      <c r="G71" t="s">
        <v>83</v>
      </c>
      <c r="H71" t="s">
        <v>84</v>
      </c>
      <c r="I71" t="s">
        <v>44</v>
      </c>
      <c r="J71" s="2">
        <v>7.409306731</v>
      </c>
      <c r="K71" s="2">
        <v>47.067159169999996</v>
      </c>
      <c r="L71" s="2">
        <v>7.409306731</v>
      </c>
      <c r="M71" s="2">
        <v>47.067159169999996</v>
      </c>
      <c r="N71" t="s">
        <v>85</v>
      </c>
      <c r="O71">
        <v>4326</v>
      </c>
      <c r="Q71">
        <v>240</v>
      </c>
      <c r="AE71">
        <v>80</v>
      </c>
      <c r="AF71">
        <v>150</v>
      </c>
      <c r="AG71">
        <v>250</v>
      </c>
      <c r="AH71">
        <v>96</v>
      </c>
      <c r="AI71">
        <v>180</v>
      </c>
      <c r="AJ71">
        <v>300</v>
      </c>
      <c r="AK71">
        <v>1500</v>
      </c>
    </row>
    <row r="72" spans="1:37" hidden="1" x14ac:dyDescent="0.35">
      <c r="A72" t="s">
        <v>2</v>
      </c>
      <c r="B72" t="s">
        <v>81</v>
      </c>
      <c r="C72" s="23" t="s">
        <v>86</v>
      </c>
      <c r="E72" s="22">
        <v>5</v>
      </c>
      <c r="F72" s="23">
        <v>4</v>
      </c>
      <c r="G72" t="s">
        <v>87</v>
      </c>
      <c r="H72" t="s">
        <v>88</v>
      </c>
      <c r="I72" t="s">
        <v>44</v>
      </c>
      <c r="J72" s="2">
        <v>7.9872177259999999</v>
      </c>
      <c r="K72" s="2">
        <v>47.296088519999998</v>
      </c>
      <c r="L72" s="2">
        <v>7.9872177259999999</v>
      </c>
      <c r="M72" s="2">
        <v>47.296088519999998</v>
      </c>
      <c r="N72" t="s">
        <v>85</v>
      </c>
      <c r="O72">
        <v>4326</v>
      </c>
      <c r="Q72">
        <v>708</v>
      </c>
      <c r="AE72">
        <v>80</v>
      </c>
      <c r="AF72">
        <v>150</v>
      </c>
      <c r="AG72">
        <v>250</v>
      </c>
      <c r="AH72">
        <v>96</v>
      </c>
      <c r="AI72">
        <v>180</v>
      </c>
      <c r="AJ72">
        <v>300</v>
      </c>
      <c r="AK72">
        <v>1500</v>
      </c>
    </row>
    <row r="73" spans="1:37" hidden="1" x14ac:dyDescent="0.35">
      <c r="A73" t="s">
        <v>2</v>
      </c>
      <c r="B73" t="s">
        <v>81</v>
      </c>
      <c r="C73" s="23" t="s">
        <v>89</v>
      </c>
      <c r="E73" s="22">
        <v>5</v>
      </c>
      <c r="F73" s="23">
        <v>4</v>
      </c>
      <c r="G73" t="s">
        <v>90</v>
      </c>
      <c r="H73" t="s">
        <v>29</v>
      </c>
      <c r="I73" t="s">
        <v>44</v>
      </c>
      <c r="J73" s="2">
        <v>9.1309644409999997</v>
      </c>
      <c r="K73" s="2">
        <v>47.404199349999999</v>
      </c>
      <c r="L73" s="2">
        <v>9.1309644409999997</v>
      </c>
      <c r="M73" s="2">
        <v>47.404199349999999</v>
      </c>
      <c r="N73" t="s">
        <v>85</v>
      </c>
      <c r="O73">
        <v>4326</v>
      </c>
      <c r="Q73">
        <v>251</v>
      </c>
      <c r="AE73">
        <v>80</v>
      </c>
      <c r="AF73">
        <v>125</v>
      </c>
      <c r="AG73">
        <v>130</v>
      </c>
      <c r="AH73">
        <v>36</v>
      </c>
      <c r="AI73">
        <v>150</v>
      </c>
      <c r="AJ73">
        <v>59</v>
      </c>
      <c r="AK73">
        <v>1250</v>
      </c>
    </row>
    <row r="74" spans="1:37" hidden="1" x14ac:dyDescent="0.35">
      <c r="A74" t="s">
        <v>2</v>
      </c>
      <c r="B74" t="s">
        <v>81</v>
      </c>
      <c r="C74" s="23" t="s">
        <v>91</v>
      </c>
      <c r="E74" s="22">
        <v>5</v>
      </c>
      <c r="F74" s="23">
        <v>4</v>
      </c>
      <c r="G74" t="s">
        <v>92</v>
      </c>
      <c r="H74" t="s">
        <v>93</v>
      </c>
      <c r="I74" t="s">
        <v>44</v>
      </c>
      <c r="J74" s="2">
        <v>7.7064346370000001</v>
      </c>
      <c r="K74" s="2">
        <v>47.062838970000001</v>
      </c>
      <c r="L74" s="2">
        <v>7.7064346370000001</v>
      </c>
      <c r="M74" s="2">
        <v>47.062838970000001</v>
      </c>
      <c r="N74" t="s">
        <v>85</v>
      </c>
      <c r="O74">
        <v>4326</v>
      </c>
      <c r="Q74">
        <v>1479</v>
      </c>
      <c r="AE74">
        <v>80</v>
      </c>
      <c r="AF74">
        <v>120</v>
      </c>
      <c r="AG74">
        <v>250</v>
      </c>
      <c r="AH74">
        <v>96</v>
      </c>
      <c r="AI74">
        <v>144</v>
      </c>
      <c r="AJ74">
        <v>300</v>
      </c>
      <c r="AK74">
        <v>1200</v>
      </c>
    </row>
    <row r="75" spans="1:37" hidden="1" x14ac:dyDescent="0.35">
      <c r="A75" t="s">
        <v>2</v>
      </c>
      <c r="B75" t="s">
        <v>94</v>
      </c>
      <c r="C75" s="23" t="s">
        <v>96</v>
      </c>
      <c r="E75" s="22">
        <v>5</v>
      </c>
      <c r="F75" s="23">
        <v>4</v>
      </c>
      <c r="G75" t="s">
        <v>97</v>
      </c>
      <c r="H75" t="s">
        <v>98</v>
      </c>
      <c r="I75" t="s">
        <v>44</v>
      </c>
      <c r="L75" s="2">
        <v>-727791</v>
      </c>
      <c r="M75" s="2">
        <v>-1009088</v>
      </c>
      <c r="N75" t="s">
        <v>95</v>
      </c>
      <c r="O75">
        <v>5514</v>
      </c>
      <c r="P75">
        <v>85</v>
      </c>
      <c r="Q75">
        <v>94</v>
      </c>
      <c r="R75">
        <v>100</v>
      </c>
      <c r="AE75">
        <v>80</v>
      </c>
      <c r="AF75">
        <v>110</v>
      </c>
      <c r="AG75">
        <v>151</v>
      </c>
      <c r="AH75">
        <v>96</v>
      </c>
      <c r="AI75">
        <v>151</v>
      </c>
      <c r="AJ75">
        <v>151</v>
      </c>
      <c r="AK75">
        <v>1100</v>
      </c>
    </row>
    <row r="76" spans="1:37" hidden="1" x14ac:dyDescent="0.35">
      <c r="A76" t="s">
        <v>2</v>
      </c>
      <c r="B76" t="s">
        <v>94</v>
      </c>
      <c r="C76" s="23" t="s">
        <v>96</v>
      </c>
      <c r="E76" s="22">
        <v>5</v>
      </c>
      <c r="F76" s="23">
        <v>4</v>
      </c>
      <c r="G76" t="s">
        <v>97</v>
      </c>
      <c r="H76" t="s">
        <v>98</v>
      </c>
      <c r="I76" t="s">
        <v>44</v>
      </c>
      <c r="L76" s="2">
        <v>-727791</v>
      </c>
      <c r="M76" s="2">
        <v>-1009088</v>
      </c>
      <c r="N76" t="s">
        <v>95</v>
      </c>
      <c r="O76">
        <v>5514</v>
      </c>
      <c r="P76">
        <v>180</v>
      </c>
      <c r="Q76">
        <v>200</v>
      </c>
      <c r="R76">
        <v>220</v>
      </c>
      <c r="AE76">
        <v>87</v>
      </c>
      <c r="AF76">
        <v>115</v>
      </c>
      <c r="AG76">
        <v>145</v>
      </c>
      <c r="AH76">
        <v>104</v>
      </c>
      <c r="AI76">
        <v>145</v>
      </c>
      <c r="AJ76">
        <v>145</v>
      </c>
      <c r="AK76">
        <v>1130</v>
      </c>
    </row>
    <row r="77" spans="1:37" hidden="1" x14ac:dyDescent="0.35">
      <c r="A77" t="s">
        <v>2</v>
      </c>
      <c r="B77" t="s">
        <v>94</v>
      </c>
      <c r="C77" s="23" t="s">
        <v>96</v>
      </c>
      <c r="E77" s="22">
        <v>5</v>
      </c>
      <c r="F77" s="23">
        <v>4</v>
      </c>
      <c r="G77" t="s">
        <v>97</v>
      </c>
      <c r="H77" t="s">
        <v>98</v>
      </c>
      <c r="I77" t="s">
        <v>44</v>
      </c>
      <c r="L77" s="2">
        <v>-727791</v>
      </c>
      <c r="M77" s="2">
        <v>-1009088</v>
      </c>
      <c r="N77" t="s">
        <v>95</v>
      </c>
      <c r="O77">
        <v>5514</v>
      </c>
      <c r="P77">
        <v>100</v>
      </c>
      <c r="Q77">
        <v>109</v>
      </c>
      <c r="R77">
        <v>120</v>
      </c>
      <c r="AE77">
        <v>70</v>
      </c>
      <c r="AF77">
        <v>100</v>
      </c>
      <c r="AG77">
        <v>135</v>
      </c>
      <c r="AH77">
        <v>84</v>
      </c>
      <c r="AI77">
        <v>135</v>
      </c>
      <c r="AJ77">
        <v>135</v>
      </c>
      <c r="AK77">
        <v>1000</v>
      </c>
    </row>
    <row r="78" spans="1:37" hidden="1" x14ac:dyDescent="0.35">
      <c r="A78" t="s">
        <v>2</v>
      </c>
      <c r="B78" t="s">
        <v>94</v>
      </c>
      <c r="C78" s="23" t="s">
        <v>96</v>
      </c>
      <c r="E78" s="22">
        <v>5</v>
      </c>
      <c r="F78" s="23">
        <v>4</v>
      </c>
      <c r="G78" t="s">
        <v>97</v>
      </c>
      <c r="H78" t="s">
        <v>98</v>
      </c>
      <c r="I78" t="s">
        <v>44</v>
      </c>
      <c r="L78" s="2">
        <v>-727791</v>
      </c>
      <c r="M78" s="2">
        <v>-1009088</v>
      </c>
      <c r="N78" t="s">
        <v>95</v>
      </c>
      <c r="O78">
        <v>5514</v>
      </c>
      <c r="P78">
        <v>18</v>
      </c>
      <c r="Q78">
        <v>20</v>
      </c>
      <c r="R78">
        <v>22</v>
      </c>
      <c r="AE78">
        <v>100</v>
      </c>
      <c r="AF78">
        <v>120</v>
      </c>
      <c r="AG78">
        <v>160</v>
      </c>
      <c r="AH78">
        <v>120</v>
      </c>
      <c r="AI78">
        <v>160</v>
      </c>
      <c r="AJ78">
        <v>160</v>
      </c>
      <c r="AK78">
        <v>1200</v>
      </c>
    </row>
    <row r="79" spans="1:37" hidden="1" x14ac:dyDescent="0.35">
      <c r="A79" t="s">
        <v>2</v>
      </c>
      <c r="B79" t="s">
        <v>99</v>
      </c>
      <c r="C79" s="23" t="s">
        <v>100</v>
      </c>
      <c r="E79" s="22">
        <v>5</v>
      </c>
      <c r="F79" s="23">
        <v>4</v>
      </c>
      <c r="G79" t="s">
        <v>101</v>
      </c>
      <c r="H79" t="s">
        <v>102</v>
      </c>
      <c r="I79" t="s">
        <v>44</v>
      </c>
      <c r="L79" s="2">
        <v>11.404999999999999</v>
      </c>
      <c r="M79" s="2">
        <v>54.693611109999999</v>
      </c>
      <c r="N79" t="s">
        <v>103</v>
      </c>
      <c r="O79">
        <v>4326</v>
      </c>
      <c r="P79">
        <v>3200</v>
      </c>
      <c r="Q79">
        <v>154400</v>
      </c>
      <c r="R79">
        <v>1388000</v>
      </c>
      <c r="AE79">
        <v>11</v>
      </c>
      <c r="AF79">
        <v>16</v>
      </c>
      <c r="AG79">
        <v>16</v>
      </c>
      <c r="AH79">
        <v>17</v>
      </c>
      <c r="AI79">
        <v>24</v>
      </c>
      <c r="AJ79">
        <v>24</v>
      </c>
      <c r="AK79">
        <v>1600</v>
      </c>
    </row>
    <row r="80" spans="1:37" hidden="1" x14ac:dyDescent="0.35">
      <c r="A80" t="s">
        <v>2</v>
      </c>
      <c r="B80" t="s">
        <v>99</v>
      </c>
      <c r="C80" s="23" t="s">
        <v>104</v>
      </c>
      <c r="E80" s="22">
        <v>5</v>
      </c>
      <c r="F80" s="23">
        <v>4</v>
      </c>
      <c r="G80" t="s">
        <v>105</v>
      </c>
      <c r="H80" t="s">
        <v>106</v>
      </c>
      <c r="I80" t="s">
        <v>44</v>
      </c>
      <c r="L80" s="2">
        <v>11.505663889999999</v>
      </c>
      <c r="M80" s="2">
        <v>56.344072220000001</v>
      </c>
      <c r="N80" t="s">
        <v>103</v>
      </c>
      <c r="O80">
        <v>4326</v>
      </c>
      <c r="P80">
        <v>2300</v>
      </c>
      <c r="Q80">
        <v>120000</v>
      </c>
      <c r="R80">
        <v>368000</v>
      </c>
      <c r="AE80">
        <v>10</v>
      </c>
      <c r="AF80">
        <v>16</v>
      </c>
      <c r="AG80">
        <v>19</v>
      </c>
      <c r="AH80">
        <v>15</v>
      </c>
      <c r="AI80">
        <v>23</v>
      </c>
      <c r="AJ80">
        <v>28</v>
      </c>
      <c r="AK80">
        <v>1523</v>
      </c>
    </row>
    <row r="81" spans="1:37" hidden="1" x14ac:dyDescent="0.35">
      <c r="A81" t="s">
        <v>2</v>
      </c>
      <c r="B81" t="s">
        <v>99</v>
      </c>
      <c r="C81" s="23" t="s">
        <v>107</v>
      </c>
      <c r="E81" s="22">
        <v>5</v>
      </c>
      <c r="F81" s="23">
        <v>4</v>
      </c>
      <c r="G81" t="s">
        <v>108</v>
      </c>
      <c r="H81" t="s">
        <v>29</v>
      </c>
      <c r="I81" t="s">
        <v>44</v>
      </c>
      <c r="L81" s="2">
        <v>10.050000000000001</v>
      </c>
      <c r="M81" s="2">
        <v>57.166666999999997</v>
      </c>
      <c r="N81" t="s">
        <v>103</v>
      </c>
      <c r="O81">
        <v>4326</v>
      </c>
      <c r="P81">
        <v>35</v>
      </c>
      <c r="Q81">
        <v>36000</v>
      </c>
      <c r="R81">
        <v>114000</v>
      </c>
      <c r="AK81">
        <v>1120</v>
      </c>
    </row>
    <row r="82" spans="1:37" hidden="1" x14ac:dyDescent="0.35">
      <c r="A82" t="s">
        <v>2</v>
      </c>
      <c r="B82" t="s">
        <v>99</v>
      </c>
      <c r="C82" s="23" t="s">
        <v>109</v>
      </c>
      <c r="E82" s="22">
        <v>5</v>
      </c>
      <c r="F82" s="23">
        <v>4</v>
      </c>
      <c r="G82" t="s">
        <v>110</v>
      </c>
      <c r="H82" t="s">
        <v>111</v>
      </c>
      <c r="I82" t="s">
        <v>44</v>
      </c>
      <c r="L82" s="2">
        <v>8.3113939999999999</v>
      </c>
      <c r="M82" s="2">
        <v>57.438222000000003</v>
      </c>
      <c r="N82" t="s">
        <v>103</v>
      </c>
      <c r="O82">
        <v>4326</v>
      </c>
      <c r="P82">
        <v>6800</v>
      </c>
      <c r="Q82">
        <v>154000</v>
      </c>
      <c r="R82">
        <v>1387000</v>
      </c>
      <c r="AE82">
        <v>12</v>
      </c>
      <c r="AF82">
        <v>12</v>
      </c>
      <c r="AG82">
        <v>12</v>
      </c>
      <c r="AH82">
        <v>18</v>
      </c>
      <c r="AI82">
        <v>18</v>
      </c>
      <c r="AJ82">
        <v>18</v>
      </c>
      <c r="AK82">
        <v>1500</v>
      </c>
    </row>
    <row r="83" spans="1:37" hidden="1" x14ac:dyDescent="0.35">
      <c r="A83" t="s">
        <v>2</v>
      </c>
      <c r="B83" t="s">
        <v>0</v>
      </c>
      <c r="C83" s="23" t="s">
        <v>112</v>
      </c>
      <c r="E83" s="22">
        <v>5</v>
      </c>
      <c r="F83" s="23">
        <v>4</v>
      </c>
      <c r="G83" t="s">
        <v>113</v>
      </c>
      <c r="H83" t="s">
        <v>29</v>
      </c>
      <c r="I83" t="s">
        <v>44</v>
      </c>
      <c r="L83" s="2">
        <v>395749.29599999997</v>
      </c>
      <c r="M83" s="2">
        <v>4662840.1050000004</v>
      </c>
      <c r="N83" t="s">
        <v>114</v>
      </c>
      <c r="O83">
        <v>23030</v>
      </c>
      <c r="Q83">
        <v>7.86</v>
      </c>
      <c r="AF83">
        <v>156</v>
      </c>
      <c r="AK83">
        <v>1550</v>
      </c>
    </row>
    <row r="84" spans="1:37" hidden="1" x14ac:dyDescent="0.35">
      <c r="A84" t="s">
        <v>2</v>
      </c>
      <c r="B84" t="s">
        <v>0</v>
      </c>
      <c r="C84" s="23" t="s">
        <v>112</v>
      </c>
      <c r="E84" s="22">
        <v>5</v>
      </c>
      <c r="F84" s="23">
        <v>4</v>
      </c>
      <c r="G84" t="s">
        <v>113</v>
      </c>
      <c r="H84" t="s">
        <v>29</v>
      </c>
      <c r="I84" t="s">
        <v>44</v>
      </c>
      <c r="L84" s="2">
        <v>395749.29599999997</v>
      </c>
      <c r="M84" s="2">
        <v>4662840.1050000004</v>
      </c>
      <c r="N84" t="s">
        <v>114</v>
      </c>
      <c r="O84">
        <v>23030</v>
      </c>
      <c r="Q84">
        <v>1.69</v>
      </c>
      <c r="AF84">
        <v>131</v>
      </c>
      <c r="AK84">
        <v>1300</v>
      </c>
    </row>
    <row r="85" spans="1:37" hidden="1" x14ac:dyDescent="0.35">
      <c r="A85" t="s">
        <v>2</v>
      </c>
      <c r="B85" t="s">
        <v>0</v>
      </c>
      <c r="C85" s="23" t="s">
        <v>112</v>
      </c>
      <c r="E85" s="22">
        <v>5</v>
      </c>
      <c r="F85" s="23">
        <v>4</v>
      </c>
      <c r="G85" t="s">
        <v>113</v>
      </c>
      <c r="H85" t="s">
        <v>29</v>
      </c>
      <c r="I85" t="s">
        <v>44</v>
      </c>
      <c r="L85" s="2">
        <v>395749.29599999997</v>
      </c>
      <c r="M85" s="2">
        <v>4662840.1050000004</v>
      </c>
      <c r="N85" t="s">
        <v>114</v>
      </c>
      <c r="O85">
        <v>23030</v>
      </c>
      <c r="Q85">
        <v>47.25</v>
      </c>
      <c r="AF85">
        <v>131</v>
      </c>
      <c r="AK85">
        <v>1300</v>
      </c>
    </row>
    <row r="86" spans="1:37" hidden="1" x14ac:dyDescent="0.35">
      <c r="A86" t="s">
        <v>2</v>
      </c>
      <c r="B86" t="s">
        <v>0</v>
      </c>
      <c r="C86" s="23" t="s">
        <v>112</v>
      </c>
      <c r="E86" s="22">
        <v>5</v>
      </c>
      <c r="F86" s="23">
        <v>4</v>
      </c>
      <c r="G86" t="s">
        <v>113</v>
      </c>
      <c r="H86" t="s">
        <v>29</v>
      </c>
      <c r="I86" t="s">
        <v>44</v>
      </c>
      <c r="L86" s="2">
        <v>395749.29599999997</v>
      </c>
      <c r="M86" s="2">
        <v>4662840.1050000004</v>
      </c>
      <c r="N86" t="s">
        <v>114</v>
      </c>
      <c r="O86">
        <v>23030</v>
      </c>
      <c r="Q86">
        <v>35.44</v>
      </c>
      <c r="AF86">
        <v>276</v>
      </c>
      <c r="AK86">
        <v>2750</v>
      </c>
    </row>
    <row r="87" spans="1:37" hidden="1" x14ac:dyDescent="0.35">
      <c r="A87" t="s">
        <v>2</v>
      </c>
      <c r="B87" t="s">
        <v>0</v>
      </c>
      <c r="C87" s="23" t="s">
        <v>112</v>
      </c>
      <c r="E87" s="22">
        <v>5</v>
      </c>
      <c r="F87" s="23">
        <v>4</v>
      </c>
      <c r="G87" t="s">
        <v>113</v>
      </c>
      <c r="H87" t="s">
        <v>29</v>
      </c>
      <c r="I87" t="s">
        <v>44</v>
      </c>
      <c r="L87" s="2">
        <v>395749.29599999997</v>
      </c>
      <c r="M87" s="2">
        <v>4662840.1050000004</v>
      </c>
      <c r="N87" t="s">
        <v>114</v>
      </c>
      <c r="O87">
        <v>23030</v>
      </c>
      <c r="Q87">
        <v>1.83</v>
      </c>
      <c r="AF87">
        <v>101</v>
      </c>
      <c r="AK87">
        <v>1000</v>
      </c>
    </row>
    <row r="88" spans="1:37" hidden="1" x14ac:dyDescent="0.35">
      <c r="A88" t="s">
        <v>2</v>
      </c>
      <c r="B88" t="s">
        <v>0</v>
      </c>
      <c r="C88" s="23" t="s">
        <v>112</v>
      </c>
      <c r="E88" s="22">
        <v>5</v>
      </c>
      <c r="F88" s="23">
        <v>4</v>
      </c>
      <c r="G88" t="s">
        <v>113</v>
      </c>
      <c r="H88" t="s">
        <v>29</v>
      </c>
      <c r="I88" t="s">
        <v>44</v>
      </c>
      <c r="L88" s="2">
        <v>395749.29599999997</v>
      </c>
      <c r="M88" s="2">
        <v>4662840.1050000004</v>
      </c>
      <c r="N88" t="s">
        <v>114</v>
      </c>
      <c r="O88">
        <v>23030</v>
      </c>
      <c r="Q88">
        <v>132.19</v>
      </c>
      <c r="AF88">
        <v>276</v>
      </c>
      <c r="AK88">
        <v>2750</v>
      </c>
    </row>
    <row r="89" spans="1:37" hidden="1" x14ac:dyDescent="0.35">
      <c r="A89" t="s">
        <v>2</v>
      </c>
      <c r="B89" t="s">
        <v>0</v>
      </c>
      <c r="C89" s="23" t="s">
        <v>112</v>
      </c>
      <c r="E89" s="22">
        <v>5</v>
      </c>
      <c r="F89" s="23">
        <v>4</v>
      </c>
      <c r="G89" t="s">
        <v>113</v>
      </c>
      <c r="H89" t="s">
        <v>29</v>
      </c>
      <c r="I89" t="s">
        <v>44</v>
      </c>
      <c r="L89" s="2">
        <v>395749.29599999997</v>
      </c>
      <c r="M89" s="2">
        <v>4662840.1050000004</v>
      </c>
      <c r="N89" t="s">
        <v>114</v>
      </c>
      <c r="O89">
        <v>23030</v>
      </c>
      <c r="Q89">
        <v>242.97</v>
      </c>
      <c r="AF89">
        <v>198</v>
      </c>
      <c r="AK89">
        <v>1965</v>
      </c>
    </row>
    <row r="90" spans="1:37" hidden="1" x14ac:dyDescent="0.35">
      <c r="A90" t="s">
        <v>2</v>
      </c>
      <c r="B90" t="s">
        <v>0</v>
      </c>
      <c r="C90" s="23" t="s">
        <v>112</v>
      </c>
      <c r="E90" s="22">
        <v>5</v>
      </c>
      <c r="F90" s="23">
        <v>4</v>
      </c>
      <c r="G90" t="s">
        <v>113</v>
      </c>
      <c r="H90" t="s">
        <v>29</v>
      </c>
      <c r="I90" t="s">
        <v>44</v>
      </c>
      <c r="L90" s="2">
        <v>395749.29599999997</v>
      </c>
      <c r="M90" s="2">
        <v>4662840.1050000004</v>
      </c>
      <c r="N90" t="s">
        <v>114</v>
      </c>
      <c r="O90">
        <v>23030</v>
      </c>
      <c r="Q90">
        <v>75.27</v>
      </c>
      <c r="AF90">
        <v>196</v>
      </c>
      <c r="AK90">
        <v>1950</v>
      </c>
    </row>
    <row r="91" spans="1:37" hidden="1" x14ac:dyDescent="0.35">
      <c r="A91" t="s">
        <v>2</v>
      </c>
      <c r="B91" t="s">
        <v>0</v>
      </c>
      <c r="C91" s="23" t="s">
        <v>112</v>
      </c>
      <c r="E91" s="22">
        <v>5</v>
      </c>
      <c r="F91" s="23">
        <v>4</v>
      </c>
      <c r="G91" t="s">
        <v>113</v>
      </c>
      <c r="H91" t="s">
        <v>29</v>
      </c>
      <c r="I91" t="s">
        <v>44</v>
      </c>
      <c r="L91" s="2">
        <v>395749.29599999997</v>
      </c>
      <c r="M91" s="2">
        <v>4662840.1050000004</v>
      </c>
      <c r="N91" t="s">
        <v>114</v>
      </c>
      <c r="O91">
        <v>23030</v>
      </c>
      <c r="Q91">
        <v>9.56</v>
      </c>
      <c r="AF91">
        <v>151</v>
      </c>
      <c r="AK91">
        <v>1500</v>
      </c>
    </row>
    <row r="92" spans="1:37" hidden="1" x14ac:dyDescent="0.35">
      <c r="A92" t="s">
        <v>2</v>
      </c>
      <c r="B92" t="s">
        <v>0</v>
      </c>
      <c r="C92" s="23" t="s">
        <v>115</v>
      </c>
      <c r="E92" s="22">
        <v>5</v>
      </c>
      <c r="F92" s="23">
        <v>4</v>
      </c>
      <c r="G92" t="s">
        <v>116</v>
      </c>
      <c r="H92" t="s">
        <v>29</v>
      </c>
      <c r="I92" t="s">
        <v>44</v>
      </c>
      <c r="L92" s="2">
        <v>438428.67099999997</v>
      </c>
      <c r="M92" s="2">
        <v>4759153.8470000001</v>
      </c>
      <c r="N92" t="s">
        <v>114</v>
      </c>
      <c r="O92">
        <v>23030</v>
      </c>
      <c r="Q92">
        <v>3.41</v>
      </c>
      <c r="AF92">
        <v>101</v>
      </c>
      <c r="AK92">
        <v>1000</v>
      </c>
    </row>
    <row r="93" spans="1:37" hidden="1" x14ac:dyDescent="0.35">
      <c r="A93" t="s">
        <v>2</v>
      </c>
      <c r="B93" t="s">
        <v>0</v>
      </c>
      <c r="C93" s="23" t="s">
        <v>115</v>
      </c>
      <c r="E93" s="22">
        <v>5</v>
      </c>
      <c r="F93" s="23">
        <v>4</v>
      </c>
      <c r="G93" t="s">
        <v>116</v>
      </c>
      <c r="H93" t="s">
        <v>29</v>
      </c>
      <c r="I93" t="s">
        <v>44</v>
      </c>
      <c r="L93" s="2">
        <v>438428.67099999997</v>
      </c>
      <c r="M93" s="2">
        <v>4759153.8470000001</v>
      </c>
      <c r="N93" t="s">
        <v>114</v>
      </c>
      <c r="O93">
        <v>23030</v>
      </c>
      <c r="Q93">
        <v>1.81</v>
      </c>
      <c r="AF93">
        <v>91</v>
      </c>
      <c r="AK93">
        <v>900</v>
      </c>
    </row>
    <row r="94" spans="1:37" hidden="1" x14ac:dyDescent="0.35">
      <c r="A94" t="s">
        <v>2</v>
      </c>
      <c r="B94" t="s">
        <v>0</v>
      </c>
      <c r="C94" s="23" t="s">
        <v>115</v>
      </c>
      <c r="E94" s="22">
        <v>5</v>
      </c>
      <c r="F94" s="23">
        <v>4</v>
      </c>
      <c r="G94" t="s">
        <v>116</v>
      </c>
      <c r="H94" t="s">
        <v>29</v>
      </c>
      <c r="I94" t="s">
        <v>44</v>
      </c>
      <c r="L94" s="2">
        <v>438428.67099999997</v>
      </c>
      <c r="M94" s="2">
        <v>4759153.8470000001</v>
      </c>
      <c r="N94" t="s">
        <v>114</v>
      </c>
      <c r="O94">
        <v>23030</v>
      </c>
      <c r="Q94">
        <v>6.42</v>
      </c>
      <c r="AF94">
        <v>121</v>
      </c>
      <c r="AK94">
        <v>1200</v>
      </c>
    </row>
    <row r="95" spans="1:37" hidden="1" x14ac:dyDescent="0.35">
      <c r="A95" t="s">
        <v>2</v>
      </c>
      <c r="B95" t="s">
        <v>0</v>
      </c>
      <c r="C95" s="23" t="s">
        <v>115</v>
      </c>
      <c r="E95" s="22">
        <v>5</v>
      </c>
      <c r="F95" s="23">
        <v>4</v>
      </c>
      <c r="G95" t="s">
        <v>116</v>
      </c>
      <c r="H95" t="s">
        <v>29</v>
      </c>
      <c r="I95" t="s">
        <v>44</v>
      </c>
      <c r="L95" s="2">
        <v>438428.67099999997</v>
      </c>
      <c r="M95" s="2">
        <v>4759153.8470000001</v>
      </c>
      <c r="N95" t="s">
        <v>114</v>
      </c>
      <c r="O95">
        <v>23030</v>
      </c>
      <c r="Q95">
        <v>12.85</v>
      </c>
      <c r="AF95">
        <v>221</v>
      </c>
      <c r="AK95">
        <v>2200</v>
      </c>
    </row>
    <row r="96" spans="1:37" hidden="1" x14ac:dyDescent="0.35">
      <c r="A96" t="s">
        <v>2</v>
      </c>
      <c r="B96" t="s">
        <v>0</v>
      </c>
      <c r="C96" s="23" t="s">
        <v>117</v>
      </c>
      <c r="E96" s="22">
        <v>5</v>
      </c>
      <c r="F96" s="23">
        <v>4</v>
      </c>
      <c r="G96" t="s">
        <v>118</v>
      </c>
      <c r="H96" t="s">
        <v>29</v>
      </c>
      <c r="I96" t="s">
        <v>44</v>
      </c>
      <c r="L96" s="2">
        <v>703657.48800000001</v>
      </c>
      <c r="M96" s="2">
        <v>4603574.5480000004</v>
      </c>
      <c r="N96" t="s">
        <v>114</v>
      </c>
      <c r="O96">
        <v>23030</v>
      </c>
      <c r="Q96">
        <v>95.64</v>
      </c>
      <c r="AF96">
        <v>111</v>
      </c>
      <c r="AK96">
        <v>1100</v>
      </c>
    </row>
    <row r="97" spans="1:37" hidden="1" x14ac:dyDescent="0.35">
      <c r="A97" t="s">
        <v>2</v>
      </c>
      <c r="B97" t="s">
        <v>0</v>
      </c>
      <c r="C97" s="23" t="s">
        <v>117</v>
      </c>
      <c r="E97" s="22">
        <v>5</v>
      </c>
      <c r="F97" s="23">
        <v>4</v>
      </c>
      <c r="G97" t="s">
        <v>118</v>
      </c>
      <c r="H97" t="s">
        <v>29</v>
      </c>
      <c r="I97" t="s">
        <v>44</v>
      </c>
      <c r="L97" s="2">
        <v>703657.48800000001</v>
      </c>
      <c r="M97" s="2">
        <v>4603574.5480000004</v>
      </c>
      <c r="N97" t="s">
        <v>114</v>
      </c>
      <c r="O97">
        <v>23030</v>
      </c>
      <c r="Q97">
        <v>31.05</v>
      </c>
      <c r="AF97">
        <v>101</v>
      </c>
      <c r="AK97">
        <v>1000</v>
      </c>
    </row>
    <row r="98" spans="1:37" hidden="1" x14ac:dyDescent="0.35">
      <c r="A98" t="s">
        <v>2</v>
      </c>
      <c r="B98" t="s">
        <v>0</v>
      </c>
      <c r="C98" s="23" t="s">
        <v>117</v>
      </c>
      <c r="E98" s="22">
        <v>5</v>
      </c>
      <c r="F98" s="23">
        <v>4</v>
      </c>
      <c r="G98" t="s">
        <v>118</v>
      </c>
      <c r="H98" t="s">
        <v>29</v>
      </c>
      <c r="I98" t="s">
        <v>44</v>
      </c>
      <c r="L98" s="2">
        <v>703657.48800000001</v>
      </c>
      <c r="M98" s="2">
        <v>4603574.5480000004</v>
      </c>
      <c r="N98" t="s">
        <v>114</v>
      </c>
      <c r="O98">
        <v>23030</v>
      </c>
      <c r="Q98">
        <v>1212.46</v>
      </c>
      <c r="AF98">
        <v>209</v>
      </c>
      <c r="AK98">
        <v>2080</v>
      </c>
    </row>
    <row r="99" spans="1:37" hidden="1" x14ac:dyDescent="0.35">
      <c r="A99" t="s">
        <v>2</v>
      </c>
      <c r="B99" t="s">
        <v>0</v>
      </c>
      <c r="C99" s="23" t="s">
        <v>117</v>
      </c>
      <c r="E99" s="22">
        <v>5</v>
      </c>
      <c r="F99" s="23">
        <v>4</v>
      </c>
      <c r="G99" t="s">
        <v>118</v>
      </c>
      <c r="H99" t="s">
        <v>29</v>
      </c>
      <c r="I99" t="s">
        <v>44</v>
      </c>
      <c r="L99" s="2">
        <v>703657.48800000001</v>
      </c>
      <c r="M99" s="2">
        <v>4603574.5480000004</v>
      </c>
      <c r="N99" t="s">
        <v>114</v>
      </c>
      <c r="O99">
        <v>23030</v>
      </c>
      <c r="Q99">
        <v>318.60000000000002</v>
      </c>
      <c r="AF99">
        <v>173</v>
      </c>
      <c r="AK99">
        <v>1720</v>
      </c>
    </row>
    <row r="100" spans="1:37" hidden="1" x14ac:dyDescent="0.35">
      <c r="A100" t="s">
        <v>2</v>
      </c>
      <c r="B100" t="s">
        <v>0</v>
      </c>
      <c r="C100" s="23" t="s">
        <v>117</v>
      </c>
      <c r="E100" s="22">
        <v>5</v>
      </c>
      <c r="F100" s="23">
        <v>4</v>
      </c>
      <c r="G100" t="s">
        <v>118</v>
      </c>
      <c r="H100" t="s">
        <v>29</v>
      </c>
      <c r="I100" t="s">
        <v>44</v>
      </c>
      <c r="L100" s="2">
        <v>703657.48800000001</v>
      </c>
      <c r="M100" s="2">
        <v>4603574.5480000004</v>
      </c>
      <c r="N100" t="s">
        <v>114</v>
      </c>
      <c r="O100">
        <v>23030</v>
      </c>
      <c r="Q100">
        <v>22.28</v>
      </c>
      <c r="AF100">
        <v>105</v>
      </c>
      <c r="AK100">
        <v>1040</v>
      </c>
    </row>
    <row r="101" spans="1:37" hidden="1" x14ac:dyDescent="0.35">
      <c r="A101" t="s">
        <v>2</v>
      </c>
      <c r="B101" t="s">
        <v>0</v>
      </c>
      <c r="C101" s="23" t="s">
        <v>117</v>
      </c>
      <c r="E101" s="22">
        <v>5</v>
      </c>
      <c r="F101" s="23">
        <v>4</v>
      </c>
      <c r="G101" t="s">
        <v>118</v>
      </c>
      <c r="H101" t="s">
        <v>29</v>
      </c>
      <c r="I101" t="s">
        <v>44</v>
      </c>
      <c r="L101" s="2">
        <v>703657.48800000001</v>
      </c>
      <c r="M101" s="2">
        <v>4603574.5480000004</v>
      </c>
      <c r="N101" t="s">
        <v>114</v>
      </c>
      <c r="O101">
        <v>23030</v>
      </c>
      <c r="Q101">
        <v>68.930000000000007</v>
      </c>
      <c r="AF101">
        <v>99</v>
      </c>
      <c r="AK101">
        <v>975</v>
      </c>
    </row>
    <row r="102" spans="1:37" hidden="1" x14ac:dyDescent="0.35">
      <c r="A102" t="s">
        <v>2</v>
      </c>
      <c r="B102" t="s">
        <v>0</v>
      </c>
      <c r="C102" s="23" t="s">
        <v>119</v>
      </c>
      <c r="E102" s="22">
        <v>5</v>
      </c>
      <c r="F102" s="23">
        <v>4</v>
      </c>
      <c r="G102" t="s">
        <v>120</v>
      </c>
      <c r="H102" t="s">
        <v>29</v>
      </c>
      <c r="I102" t="s">
        <v>44</v>
      </c>
      <c r="L102" s="2">
        <v>429053.01299999998</v>
      </c>
      <c r="M102" s="2">
        <v>4733281.8470000001</v>
      </c>
      <c r="N102" t="s">
        <v>114</v>
      </c>
      <c r="O102">
        <v>23030</v>
      </c>
      <c r="Q102">
        <v>198.45</v>
      </c>
      <c r="AF102">
        <v>237</v>
      </c>
      <c r="AK102">
        <v>2360</v>
      </c>
    </row>
    <row r="103" spans="1:37" hidden="1" x14ac:dyDescent="0.35">
      <c r="A103" t="s">
        <v>2</v>
      </c>
      <c r="B103" t="s">
        <v>0</v>
      </c>
      <c r="C103" s="23" t="s">
        <v>119</v>
      </c>
      <c r="E103" s="22">
        <v>5</v>
      </c>
      <c r="F103" s="23">
        <v>4</v>
      </c>
      <c r="G103" t="s">
        <v>120</v>
      </c>
      <c r="H103" t="s">
        <v>29</v>
      </c>
      <c r="I103" t="s">
        <v>44</v>
      </c>
      <c r="L103" s="2">
        <v>429053.01299999998</v>
      </c>
      <c r="M103" s="2">
        <v>4733281.8470000001</v>
      </c>
      <c r="N103" t="s">
        <v>114</v>
      </c>
      <c r="O103">
        <v>23030</v>
      </c>
      <c r="Q103">
        <v>139.97</v>
      </c>
      <c r="AF103">
        <v>86</v>
      </c>
      <c r="AK103">
        <v>850</v>
      </c>
    </row>
    <row r="104" spans="1:37" hidden="1" x14ac:dyDescent="0.35">
      <c r="A104" t="s">
        <v>2</v>
      </c>
      <c r="B104" t="s">
        <v>0</v>
      </c>
      <c r="C104" s="23" t="s">
        <v>119</v>
      </c>
      <c r="E104" s="22">
        <v>5</v>
      </c>
      <c r="F104" s="23">
        <v>4</v>
      </c>
      <c r="G104" t="s">
        <v>120</v>
      </c>
      <c r="H104" t="s">
        <v>29</v>
      </c>
      <c r="I104" t="s">
        <v>44</v>
      </c>
      <c r="L104" s="2">
        <v>429053.01299999998</v>
      </c>
      <c r="M104" s="2">
        <v>4733281.8470000001</v>
      </c>
      <c r="N104" t="s">
        <v>114</v>
      </c>
      <c r="O104">
        <v>23030</v>
      </c>
      <c r="Q104">
        <v>74.52</v>
      </c>
      <c r="AF104">
        <v>136</v>
      </c>
      <c r="AK104">
        <v>1350</v>
      </c>
    </row>
    <row r="105" spans="1:37" hidden="1" x14ac:dyDescent="0.35">
      <c r="A105" t="s">
        <v>2</v>
      </c>
      <c r="B105" t="s">
        <v>0</v>
      </c>
      <c r="C105" s="23" t="s">
        <v>119</v>
      </c>
      <c r="E105" s="22">
        <v>5</v>
      </c>
      <c r="F105" s="23">
        <v>4</v>
      </c>
      <c r="G105" t="s">
        <v>120</v>
      </c>
      <c r="H105" t="s">
        <v>29</v>
      </c>
      <c r="I105" t="s">
        <v>44</v>
      </c>
      <c r="L105" s="2">
        <v>429053.01299999998</v>
      </c>
      <c r="M105" s="2">
        <v>4733281.8470000001</v>
      </c>
      <c r="N105" t="s">
        <v>114</v>
      </c>
      <c r="O105">
        <v>23030</v>
      </c>
      <c r="Q105">
        <v>23.15</v>
      </c>
      <c r="AF105">
        <v>201</v>
      </c>
      <c r="AK105">
        <v>2000</v>
      </c>
    </row>
    <row r="106" spans="1:37" hidden="1" x14ac:dyDescent="0.35">
      <c r="A106" t="s">
        <v>2</v>
      </c>
      <c r="B106" t="s">
        <v>0</v>
      </c>
      <c r="C106" s="23" t="s">
        <v>119</v>
      </c>
      <c r="E106" s="22">
        <v>5</v>
      </c>
      <c r="F106" s="23">
        <v>4</v>
      </c>
      <c r="G106" t="s">
        <v>120</v>
      </c>
      <c r="H106" t="s">
        <v>29</v>
      </c>
      <c r="I106" t="s">
        <v>44</v>
      </c>
      <c r="L106" s="2">
        <v>429053.01299999998</v>
      </c>
      <c r="M106" s="2">
        <v>4733281.8470000001</v>
      </c>
      <c r="N106" t="s">
        <v>114</v>
      </c>
      <c r="O106">
        <v>23030</v>
      </c>
      <c r="Q106">
        <v>358.2</v>
      </c>
      <c r="AF106">
        <v>176</v>
      </c>
      <c r="AK106">
        <v>1750</v>
      </c>
    </row>
    <row r="107" spans="1:37" hidden="1" x14ac:dyDescent="0.35">
      <c r="A107" t="s">
        <v>2</v>
      </c>
      <c r="B107" t="s">
        <v>0</v>
      </c>
      <c r="C107" s="23" t="s">
        <v>121</v>
      </c>
      <c r="E107" s="22">
        <v>5</v>
      </c>
      <c r="F107" s="23">
        <v>4</v>
      </c>
      <c r="G107" t="s">
        <v>122</v>
      </c>
      <c r="H107" t="s">
        <v>123</v>
      </c>
      <c r="I107" t="s">
        <v>44</v>
      </c>
      <c r="L107" s="2">
        <v>538719.72600000002</v>
      </c>
      <c r="M107" s="2">
        <v>4486727.6189999999</v>
      </c>
      <c r="N107" t="s">
        <v>114</v>
      </c>
      <c r="O107">
        <v>23030</v>
      </c>
      <c r="Q107">
        <v>20.45</v>
      </c>
      <c r="AF107">
        <v>101</v>
      </c>
      <c r="AK107">
        <v>1000</v>
      </c>
    </row>
    <row r="108" spans="1:37" hidden="1" x14ac:dyDescent="0.35">
      <c r="A108" t="s">
        <v>2</v>
      </c>
      <c r="B108" t="s">
        <v>0</v>
      </c>
      <c r="C108" s="23" t="s">
        <v>121</v>
      </c>
      <c r="E108" s="22">
        <v>5</v>
      </c>
      <c r="F108" s="23">
        <v>4</v>
      </c>
      <c r="G108" t="s">
        <v>122</v>
      </c>
      <c r="H108" t="s">
        <v>123</v>
      </c>
      <c r="I108" t="s">
        <v>44</v>
      </c>
      <c r="L108" s="2">
        <v>538719.72600000002</v>
      </c>
      <c r="M108" s="2">
        <v>4486727.6189999999</v>
      </c>
      <c r="N108" t="s">
        <v>114</v>
      </c>
      <c r="O108">
        <v>23030</v>
      </c>
      <c r="Q108">
        <v>32.08</v>
      </c>
      <c r="AF108">
        <v>81</v>
      </c>
      <c r="AK108">
        <v>800</v>
      </c>
    </row>
    <row r="109" spans="1:37" hidden="1" x14ac:dyDescent="0.35">
      <c r="A109" t="s">
        <v>2</v>
      </c>
      <c r="B109" t="s">
        <v>0</v>
      </c>
      <c r="C109" s="23" t="s">
        <v>121</v>
      </c>
      <c r="E109" s="22">
        <v>5</v>
      </c>
      <c r="F109" s="23">
        <v>4</v>
      </c>
      <c r="G109" t="s">
        <v>122</v>
      </c>
      <c r="H109" t="s">
        <v>123</v>
      </c>
      <c r="I109" t="s">
        <v>44</v>
      </c>
      <c r="L109" s="2">
        <v>538719.72600000002</v>
      </c>
      <c r="M109" s="2">
        <v>4486727.6189999999</v>
      </c>
      <c r="N109" t="s">
        <v>114</v>
      </c>
      <c r="O109">
        <v>23030</v>
      </c>
      <c r="Q109">
        <v>123.96</v>
      </c>
      <c r="AF109">
        <v>151</v>
      </c>
      <c r="AK109">
        <v>1500</v>
      </c>
    </row>
    <row r="110" spans="1:37" hidden="1" x14ac:dyDescent="0.35">
      <c r="A110" t="s">
        <v>2</v>
      </c>
      <c r="B110" t="s">
        <v>0</v>
      </c>
      <c r="C110" s="23" t="s">
        <v>121</v>
      </c>
      <c r="E110" s="22">
        <v>5</v>
      </c>
      <c r="F110" s="23">
        <v>4</v>
      </c>
      <c r="G110" t="s">
        <v>122</v>
      </c>
      <c r="H110" t="s">
        <v>123</v>
      </c>
      <c r="I110" t="s">
        <v>44</v>
      </c>
      <c r="L110" s="2">
        <v>538719.72600000002</v>
      </c>
      <c r="M110" s="2">
        <v>4486727.6189999999</v>
      </c>
      <c r="N110" t="s">
        <v>114</v>
      </c>
      <c r="O110">
        <v>23030</v>
      </c>
      <c r="Q110">
        <v>90.4</v>
      </c>
      <c r="AF110">
        <v>211</v>
      </c>
      <c r="AK110">
        <v>2100</v>
      </c>
    </row>
    <row r="111" spans="1:37" hidden="1" x14ac:dyDescent="0.35">
      <c r="A111" t="s">
        <v>2</v>
      </c>
      <c r="B111" t="s">
        <v>0</v>
      </c>
      <c r="C111" s="23" t="s">
        <v>121</v>
      </c>
      <c r="E111" s="22">
        <v>5</v>
      </c>
      <c r="F111" s="23">
        <v>4</v>
      </c>
      <c r="G111" t="s">
        <v>122</v>
      </c>
      <c r="H111" t="s">
        <v>123</v>
      </c>
      <c r="I111" t="s">
        <v>44</v>
      </c>
      <c r="L111" s="2">
        <v>538719.72600000002</v>
      </c>
      <c r="M111" s="2">
        <v>4486727.6189999999</v>
      </c>
      <c r="N111" t="s">
        <v>114</v>
      </c>
      <c r="O111">
        <v>23030</v>
      </c>
      <c r="Q111">
        <v>61.28</v>
      </c>
      <c r="AF111">
        <v>256</v>
      </c>
      <c r="AK111">
        <v>2550</v>
      </c>
    </row>
    <row r="112" spans="1:37" hidden="1" x14ac:dyDescent="0.35">
      <c r="A112" t="s">
        <v>2</v>
      </c>
      <c r="B112" t="s">
        <v>0</v>
      </c>
      <c r="C112" s="23" t="s">
        <v>121</v>
      </c>
      <c r="E112" s="22">
        <v>5</v>
      </c>
      <c r="F112" s="23">
        <v>4</v>
      </c>
      <c r="G112" t="s">
        <v>122</v>
      </c>
      <c r="H112" t="s">
        <v>123</v>
      </c>
      <c r="I112" t="s">
        <v>44</v>
      </c>
      <c r="L112" s="2">
        <v>538719.72600000002</v>
      </c>
      <c r="M112" s="2">
        <v>4486727.6189999999</v>
      </c>
      <c r="N112" t="s">
        <v>114</v>
      </c>
      <c r="O112">
        <v>23030</v>
      </c>
      <c r="Q112">
        <v>397.74</v>
      </c>
      <c r="AF112">
        <v>131</v>
      </c>
      <c r="AK112">
        <v>1300</v>
      </c>
    </row>
    <row r="113" spans="1:37" hidden="1" x14ac:dyDescent="0.35">
      <c r="A113" t="s">
        <v>2</v>
      </c>
      <c r="B113" t="s">
        <v>0</v>
      </c>
      <c r="C113" s="23" t="s">
        <v>121</v>
      </c>
      <c r="E113" s="22">
        <v>5</v>
      </c>
      <c r="F113" s="23">
        <v>4</v>
      </c>
      <c r="G113" t="s">
        <v>122</v>
      </c>
      <c r="H113" t="s">
        <v>123</v>
      </c>
      <c r="I113" t="s">
        <v>44</v>
      </c>
      <c r="L113" s="2">
        <v>538719.72600000002</v>
      </c>
      <c r="M113" s="2">
        <v>4486727.6189999999</v>
      </c>
      <c r="N113" t="s">
        <v>114</v>
      </c>
      <c r="O113">
        <v>23030</v>
      </c>
      <c r="Q113">
        <v>51.65</v>
      </c>
      <c r="AF113">
        <v>121</v>
      </c>
      <c r="AK113">
        <v>1200</v>
      </c>
    </row>
    <row r="114" spans="1:37" hidden="1" x14ac:dyDescent="0.35">
      <c r="A114" t="s">
        <v>2</v>
      </c>
      <c r="B114" t="s">
        <v>0</v>
      </c>
      <c r="C114" s="23" t="s">
        <v>121</v>
      </c>
      <c r="E114" s="22">
        <v>5</v>
      </c>
      <c r="F114" s="23">
        <v>4</v>
      </c>
      <c r="G114" t="s">
        <v>122</v>
      </c>
      <c r="H114" t="s">
        <v>123</v>
      </c>
      <c r="I114" t="s">
        <v>44</v>
      </c>
      <c r="L114" s="2">
        <v>538719.72600000002</v>
      </c>
      <c r="M114" s="2">
        <v>4486727.6189999999</v>
      </c>
      <c r="N114" t="s">
        <v>114</v>
      </c>
      <c r="O114">
        <v>23030</v>
      </c>
      <c r="Q114">
        <v>34.78</v>
      </c>
      <c r="AF114">
        <v>196</v>
      </c>
      <c r="AK114">
        <v>1950</v>
      </c>
    </row>
    <row r="115" spans="1:37" hidden="1" x14ac:dyDescent="0.35">
      <c r="A115" t="s">
        <v>2</v>
      </c>
      <c r="B115" t="s">
        <v>0</v>
      </c>
      <c r="C115" s="23" t="s">
        <v>121</v>
      </c>
      <c r="E115" s="22">
        <v>5</v>
      </c>
      <c r="F115" s="23">
        <v>4</v>
      </c>
      <c r="G115" t="s">
        <v>122</v>
      </c>
      <c r="H115" t="s">
        <v>123</v>
      </c>
      <c r="I115" t="s">
        <v>44</v>
      </c>
      <c r="L115" s="2">
        <v>538719.72600000002</v>
      </c>
      <c r="M115" s="2">
        <v>4486727.6189999999</v>
      </c>
      <c r="N115" t="s">
        <v>114</v>
      </c>
      <c r="O115">
        <v>23030</v>
      </c>
      <c r="Q115">
        <v>6.98</v>
      </c>
      <c r="AF115">
        <v>301</v>
      </c>
      <c r="AK115">
        <v>3000</v>
      </c>
    </row>
    <row r="116" spans="1:37" hidden="1" x14ac:dyDescent="0.35">
      <c r="A116" t="s">
        <v>2</v>
      </c>
      <c r="B116" t="s">
        <v>0</v>
      </c>
      <c r="C116" s="23" t="s">
        <v>121</v>
      </c>
      <c r="E116" s="22">
        <v>5</v>
      </c>
      <c r="F116" s="23">
        <v>4</v>
      </c>
      <c r="G116" t="s">
        <v>122</v>
      </c>
      <c r="H116" t="s">
        <v>123</v>
      </c>
      <c r="I116" t="s">
        <v>44</v>
      </c>
      <c r="L116" s="2">
        <v>538719.72600000002</v>
      </c>
      <c r="M116" s="2">
        <v>4486727.6189999999</v>
      </c>
      <c r="N116" t="s">
        <v>114</v>
      </c>
      <c r="O116">
        <v>23030</v>
      </c>
      <c r="Q116">
        <v>41.77</v>
      </c>
      <c r="AF116">
        <v>56</v>
      </c>
      <c r="AK116">
        <v>550</v>
      </c>
    </row>
    <row r="117" spans="1:37" hidden="1" x14ac:dyDescent="0.35">
      <c r="A117" t="s">
        <v>2</v>
      </c>
      <c r="B117" t="s">
        <v>0</v>
      </c>
      <c r="C117" s="23" t="s">
        <v>121</v>
      </c>
      <c r="E117" s="22">
        <v>5</v>
      </c>
      <c r="F117" s="23">
        <v>4</v>
      </c>
      <c r="G117" t="s">
        <v>122</v>
      </c>
      <c r="H117" t="s">
        <v>123</v>
      </c>
      <c r="I117" t="s">
        <v>44</v>
      </c>
      <c r="L117" s="2">
        <v>538719.72600000002</v>
      </c>
      <c r="M117" s="2">
        <v>4486727.6189999999</v>
      </c>
      <c r="N117" t="s">
        <v>114</v>
      </c>
      <c r="O117">
        <v>23030</v>
      </c>
      <c r="Q117">
        <v>24.9</v>
      </c>
      <c r="AF117">
        <v>69</v>
      </c>
      <c r="AK117">
        <v>675</v>
      </c>
    </row>
    <row r="118" spans="1:37" hidden="1" x14ac:dyDescent="0.35">
      <c r="A118" t="s">
        <v>2</v>
      </c>
      <c r="B118" t="s">
        <v>0</v>
      </c>
      <c r="C118" s="23" t="s">
        <v>121</v>
      </c>
      <c r="E118" s="22">
        <v>5</v>
      </c>
      <c r="F118" s="23">
        <v>4</v>
      </c>
      <c r="G118" t="s">
        <v>122</v>
      </c>
      <c r="H118" t="s">
        <v>123</v>
      </c>
      <c r="I118" t="s">
        <v>44</v>
      </c>
      <c r="L118" s="2">
        <v>538719.72600000002</v>
      </c>
      <c r="M118" s="2">
        <v>4486727.6189999999</v>
      </c>
      <c r="N118" t="s">
        <v>114</v>
      </c>
      <c r="O118">
        <v>23030</v>
      </c>
      <c r="Q118">
        <v>4.12</v>
      </c>
      <c r="AF118">
        <v>188</v>
      </c>
      <c r="AK118">
        <v>1870</v>
      </c>
    </row>
    <row r="119" spans="1:37" hidden="1" x14ac:dyDescent="0.35">
      <c r="A119" t="s">
        <v>2</v>
      </c>
      <c r="B119" t="s">
        <v>0</v>
      </c>
      <c r="C119" s="23" t="s">
        <v>121</v>
      </c>
      <c r="E119" s="22">
        <v>5</v>
      </c>
      <c r="F119" s="23">
        <v>4</v>
      </c>
      <c r="G119" t="s">
        <v>122</v>
      </c>
      <c r="H119" t="s">
        <v>123</v>
      </c>
      <c r="I119" t="s">
        <v>44</v>
      </c>
      <c r="L119" s="2">
        <v>538719.72600000002</v>
      </c>
      <c r="M119" s="2">
        <v>4486727.6189999999</v>
      </c>
      <c r="N119" t="s">
        <v>114</v>
      </c>
      <c r="O119">
        <v>23030</v>
      </c>
      <c r="Q119">
        <v>80.59</v>
      </c>
      <c r="AF119">
        <v>101</v>
      </c>
      <c r="AK119">
        <v>1000</v>
      </c>
    </row>
    <row r="120" spans="1:37" hidden="1" x14ac:dyDescent="0.35">
      <c r="A120" t="s">
        <v>2</v>
      </c>
      <c r="B120" t="s">
        <v>0</v>
      </c>
      <c r="C120" s="23" t="s">
        <v>124</v>
      </c>
      <c r="E120" s="22">
        <v>5</v>
      </c>
      <c r="F120" s="23">
        <v>4</v>
      </c>
      <c r="G120" t="s">
        <v>125</v>
      </c>
      <c r="H120" t="s">
        <v>29</v>
      </c>
      <c r="I120" t="s">
        <v>44</v>
      </c>
      <c r="L120" s="2">
        <v>561403.98699999996</v>
      </c>
      <c r="M120" s="2">
        <v>4237141.2939999998</v>
      </c>
      <c r="N120" t="s">
        <v>114</v>
      </c>
      <c r="O120">
        <v>23030</v>
      </c>
      <c r="Q120">
        <v>338.69</v>
      </c>
      <c r="AF120">
        <v>81</v>
      </c>
      <c r="AK120">
        <v>800</v>
      </c>
    </row>
    <row r="121" spans="1:37" hidden="1" x14ac:dyDescent="0.35">
      <c r="A121" t="s">
        <v>2</v>
      </c>
      <c r="B121" t="s">
        <v>0</v>
      </c>
      <c r="C121" s="23" t="s">
        <v>124</v>
      </c>
      <c r="E121" s="22">
        <v>5</v>
      </c>
      <c r="F121" s="23">
        <v>4</v>
      </c>
      <c r="G121" t="s">
        <v>125</v>
      </c>
      <c r="H121" t="s">
        <v>29</v>
      </c>
      <c r="I121" t="s">
        <v>44</v>
      </c>
      <c r="L121" s="2">
        <v>561403.98699999996</v>
      </c>
      <c r="M121" s="2">
        <v>4237141.2939999998</v>
      </c>
      <c r="N121" t="s">
        <v>114</v>
      </c>
      <c r="O121">
        <v>23030</v>
      </c>
      <c r="Q121">
        <v>487.2</v>
      </c>
      <c r="AF121">
        <v>71</v>
      </c>
      <c r="AK121">
        <v>700</v>
      </c>
    </row>
    <row r="122" spans="1:37" hidden="1" x14ac:dyDescent="0.35">
      <c r="A122" t="s">
        <v>2</v>
      </c>
      <c r="B122" t="s">
        <v>0</v>
      </c>
      <c r="C122" s="23" t="s">
        <v>124</v>
      </c>
      <c r="E122" s="22">
        <v>5</v>
      </c>
      <c r="F122" s="23">
        <v>4</v>
      </c>
      <c r="G122" t="s">
        <v>125</v>
      </c>
      <c r="H122" t="s">
        <v>29</v>
      </c>
      <c r="I122" t="s">
        <v>44</v>
      </c>
      <c r="L122" s="2">
        <v>561403.98699999996</v>
      </c>
      <c r="M122" s="2">
        <v>4237141.2939999998</v>
      </c>
      <c r="N122" t="s">
        <v>114</v>
      </c>
      <c r="O122">
        <v>23030</v>
      </c>
      <c r="Q122">
        <v>191.1</v>
      </c>
      <c r="AF122">
        <v>111</v>
      </c>
      <c r="AK122">
        <v>1100</v>
      </c>
    </row>
    <row r="123" spans="1:37" hidden="1" x14ac:dyDescent="0.35">
      <c r="A123" t="s">
        <v>2</v>
      </c>
      <c r="B123" t="s">
        <v>0</v>
      </c>
      <c r="C123" s="23" t="s">
        <v>124</v>
      </c>
      <c r="E123" s="22">
        <v>5</v>
      </c>
      <c r="F123" s="23">
        <v>4</v>
      </c>
      <c r="G123" t="s">
        <v>125</v>
      </c>
      <c r="H123" t="s">
        <v>29</v>
      </c>
      <c r="I123" t="s">
        <v>44</v>
      </c>
      <c r="L123" s="2">
        <v>561403.98699999996</v>
      </c>
      <c r="M123" s="2">
        <v>4237141.2939999998</v>
      </c>
      <c r="N123" t="s">
        <v>114</v>
      </c>
      <c r="O123">
        <v>23030</v>
      </c>
      <c r="Q123">
        <v>179.93</v>
      </c>
      <c r="AF123">
        <v>151</v>
      </c>
      <c r="AK123">
        <v>1500</v>
      </c>
    </row>
    <row r="124" spans="1:37" hidden="1" x14ac:dyDescent="0.35">
      <c r="A124" t="s">
        <v>2</v>
      </c>
      <c r="B124" t="s">
        <v>0</v>
      </c>
      <c r="C124" s="23" t="s">
        <v>124</v>
      </c>
      <c r="E124" s="22">
        <v>5</v>
      </c>
      <c r="F124" s="23">
        <v>4</v>
      </c>
      <c r="G124" t="s">
        <v>125</v>
      </c>
      <c r="H124" t="s">
        <v>29</v>
      </c>
      <c r="I124" t="s">
        <v>44</v>
      </c>
      <c r="L124" s="2">
        <v>561403.98699999996</v>
      </c>
      <c r="M124" s="2">
        <v>4237141.2939999998</v>
      </c>
      <c r="N124" t="s">
        <v>114</v>
      </c>
      <c r="O124">
        <v>23030</v>
      </c>
      <c r="Q124">
        <v>0.35</v>
      </c>
      <c r="AF124">
        <v>74</v>
      </c>
      <c r="AK124">
        <v>730</v>
      </c>
    </row>
    <row r="125" spans="1:37" hidden="1" x14ac:dyDescent="0.35">
      <c r="A125" t="s">
        <v>2</v>
      </c>
      <c r="B125" t="s">
        <v>0</v>
      </c>
      <c r="C125" s="23" t="s">
        <v>124</v>
      </c>
      <c r="E125" s="22">
        <v>5</v>
      </c>
      <c r="F125" s="23">
        <v>4</v>
      </c>
      <c r="G125" t="s">
        <v>125</v>
      </c>
      <c r="H125" t="s">
        <v>29</v>
      </c>
      <c r="I125" t="s">
        <v>44</v>
      </c>
      <c r="L125" s="2">
        <v>561403.98699999996</v>
      </c>
      <c r="M125" s="2">
        <v>4237141.2939999998</v>
      </c>
      <c r="N125" t="s">
        <v>114</v>
      </c>
      <c r="O125">
        <v>23030</v>
      </c>
      <c r="Q125">
        <v>6.22</v>
      </c>
      <c r="AF125">
        <v>87</v>
      </c>
      <c r="AK125">
        <v>860</v>
      </c>
    </row>
    <row r="126" spans="1:37" hidden="1" x14ac:dyDescent="0.35">
      <c r="A126" t="s">
        <v>2</v>
      </c>
      <c r="B126" t="s">
        <v>0</v>
      </c>
      <c r="C126" s="23" t="s">
        <v>124</v>
      </c>
      <c r="E126" s="22">
        <v>5</v>
      </c>
      <c r="F126" s="23">
        <v>4</v>
      </c>
      <c r="G126" t="s">
        <v>125</v>
      </c>
      <c r="H126" t="s">
        <v>29</v>
      </c>
      <c r="I126" t="s">
        <v>44</v>
      </c>
      <c r="L126" s="2">
        <v>561403.98699999996</v>
      </c>
      <c r="M126" s="2">
        <v>4237141.2939999998</v>
      </c>
      <c r="N126" t="s">
        <v>114</v>
      </c>
      <c r="O126">
        <v>23030</v>
      </c>
      <c r="Q126">
        <v>225.12</v>
      </c>
      <c r="AF126">
        <v>151</v>
      </c>
      <c r="AK126">
        <v>1500</v>
      </c>
    </row>
    <row r="127" spans="1:37" hidden="1" x14ac:dyDescent="0.35">
      <c r="A127" t="s">
        <v>2</v>
      </c>
      <c r="B127" t="s">
        <v>0</v>
      </c>
      <c r="C127" s="23" t="s">
        <v>124</v>
      </c>
      <c r="E127" s="22">
        <v>5</v>
      </c>
      <c r="F127" s="23">
        <v>4</v>
      </c>
      <c r="G127" t="s">
        <v>125</v>
      </c>
      <c r="H127" t="s">
        <v>29</v>
      </c>
      <c r="I127" t="s">
        <v>44</v>
      </c>
      <c r="L127" s="2">
        <v>561403.98699999996</v>
      </c>
      <c r="M127" s="2">
        <v>4237141.2939999998</v>
      </c>
      <c r="N127" t="s">
        <v>114</v>
      </c>
      <c r="O127">
        <v>23030</v>
      </c>
      <c r="Q127">
        <v>413.48</v>
      </c>
      <c r="AF127">
        <v>86</v>
      </c>
    </row>
    <row r="128" spans="1:37" hidden="1" x14ac:dyDescent="0.35">
      <c r="A128" t="s">
        <v>2</v>
      </c>
      <c r="B128" t="s">
        <v>3</v>
      </c>
      <c r="C128" s="23" t="s">
        <v>126</v>
      </c>
      <c r="E128" s="22">
        <v>5</v>
      </c>
      <c r="G128" t="s">
        <v>127</v>
      </c>
      <c r="H128" t="s">
        <v>29</v>
      </c>
      <c r="I128" t="s">
        <v>30</v>
      </c>
      <c r="L128" s="2">
        <v>243366</v>
      </c>
      <c r="M128" s="2">
        <v>4805865</v>
      </c>
      <c r="N128" t="s">
        <v>80</v>
      </c>
      <c r="O128" s="24">
        <v>2100</v>
      </c>
      <c r="P128">
        <v>600</v>
      </c>
      <c r="Q128">
        <v>610</v>
      </c>
      <c r="R128">
        <v>620</v>
      </c>
      <c r="AE128">
        <v>160</v>
      </c>
      <c r="AF128">
        <v>180</v>
      </c>
      <c r="AG128">
        <v>210</v>
      </c>
      <c r="AH128">
        <v>400</v>
      </c>
      <c r="AI128">
        <v>400</v>
      </c>
      <c r="AJ128">
        <v>400</v>
      </c>
      <c r="AK128">
        <v>1800</v>
      </c>
    </row>
    <row r="129" spans="1:37" hidden="1" x14ac:dyDescent="0.35">
      <c r="A129" t="s">
        <v>2</v>
      </c>
      <c r="B129" t="s">
        <v>3</v>
      </c>
      <c r="C129" s="23" t="s">
        <v>128</v>
      </c>
      <c r="E129" s="22">
        <v>5</v>
      </c>
      <c r="F129" s="23">
        <v>4</v>
      </c>
      <c r="G129" t="s">
        <v>129</v>
      </c>
      <c r="H129" t="s">
        <v>29</v>
      </c>
      <c r="I129" t="s">
        <v>44</v>
      </c>
      <c r="L129" s="2">
        <v>92225</v>
      </c>
      <c r="M129" s="2">
        <v>4816100</v>
      </c>
      <c r="N129" t="s">
        <v>80</v>
      </c>
      <c r="O129" s="24">
        <v>2100</v>
      </c>
      <c r="P129">
        <v>360</v>
      </c>
      <c r="Q129">
        <v>360</v>
      </c>
      <c r="R129">
        <v>360</v>
      </c>
      <c r="AE129">
        <v>120</v>
      </c>
      <c r="AF129">
        <v>120</v>
      </c>
      <c r="AG129">
        <v>120</v>
      </c>
      <c r="AH129">
        <v>400</v>
      </c>
      <c r="AI129">
        <v>400</v>
      </c>
      <c r="AJ129">
        <v>400</v>
      </c>
      <c r="AK129">
        <v>1100</v>
      </c>
    </row>
    <row r="130" spans="1:37" hidden="1" x14ac:dyDescent="0.35">
      <c r="A130" t="s">
        <v>2</v>
      </c>
      <c r="B130" t="s">
        <v>131</v>
      </c>
      <c r="C130" s="23" t="s">
        <v>132</v>
      </c>
      <c r="E130" s="22">
        <v>5</v>
      </c>
      <c r="F130" s="23">
        <v>4</v>
      </c>
      <c r="G130" t="s">
        <v>133</v>
      </c>
      <c r="H130" t="s">
        <v>134</v>
      </c>
      <c r="I130" t="s">
        <v>44</v>
      </c>
      <c r="L130" s="2">
        <v>347000</v>
      </c>
      <c r="M130" s="2">
        <v>232000</v>
      </c>
      <c r="N130" t="s">
        <v>135</v>
      </c>
      <c r="O130">
        <v>29902</v>
      </c>
      <c r="Q130">
        <v>41.1</v>
      </c>
      <c r="AF130">
        <v>85</v>
      </c>
      <c r="AI130">
        <v>102</v>
      </c>
      <c r="AK130">
        <v>750</v>
      </c>
    </row>
    <row r="131" spans="1:37" hidden="1" x14ac:dyDescent="0.35">
      <c r="A131" t="s">
        <v>2</v>
      </c>
      <c r="B131" t="s">
        <v>131</v>
      </c>
      <c r="C131" s="23" t="s">
        <v>132</v>
      </c>
      <c r="E131" s="22">
        <v>5</v>
      </c>
      <c r="F131" s="23">
        <v>4</v>
      </c>
      <c r="G131" t="s">
        <v>133</v>
      </c>
      <c r="H131" t="s">
        <v>134</v>
      </c>
      <c r="I131" t="s">
        <v>44</v>
      </c>
      <c r="L131" s="2">
        <v>347000</v>
      </c>
      <c r="M131" s="2">
        <v>232000</v>
      </c>
      <c r="N131" t="s">
        <v>135</v>
      </c>
      <c r="O131">
        <v>29902</v>
      </c>
      <c r="Q131">
        <v>11.8</v>
      </c>
      <c r="AF131">
        <v>113</v>
      </c>
      <c r="AI131">
        <v>136</v>
      </c>
      <c r="AK131">
        <v>1000</v>
      </c>
    </row>
    <row r="132" spans="1:37" hidden="1" x14ac:dyDescent="0.35">
      <c r="A132" t="s">
        <v>2</v>
      </c>
      <c r="B132" t="s">
        <v>131</v>
      </c>
      <c r="C132" s="23" t="s">
        <v>132</v>
      </c>
      <c r="E132" s="22">
        <v>5</v>
      </c>
      <c r="F132" s="23">
        <v>4</v>
      </c>
      <c r="G132" t="s">
        <v>133</v>
      </c>
      <c r="H132" t="s">
        <v>134</v>
      </c>
      <c r="I132" t="s">
        <v>44</v>
      </c>
      <c r="L132" s="2">
        <v>347000</v>
      </c>
      <c r="M132" s="2">
        <v>232000</v>
      </c>
      <c r="N132" t="s">
        <v>135</v>
      </c>
      <c r="O132">
        <v>29902</v>
      </c>
      <c r="Q132">
        <v>52.5</v>
      </c>
      <c r="AF132">
        <v>198</v>
      </c>
      <c r="AI132">
        <v>238</v>
      </c>
      <c r="AK132">
        <v>1750</v>
      </c>
    </row>
    <row r="133" spans="1:37" hidden="1" x14ac:dyDescent="0.35">
      <c r="A133" t="s">
        <v>2</v>
      </c>
      <c r="B133" t="s">
        <v>131</v>
      </c>
      <c r="C133" s="23" t="s">
        <v>132</v>
      </c>
      <c r="E133" s="22">
        <v>5</v>
      </c>
      <c r="F133" s="23">
        <v>4</v>
      </c>
      <c r="G133" t="s">
        <v>133</v>
      </c>
      <c r="H133" t="s">
        <v>134</v>
      </c>
      <c r="I133" t="s">
        <v>44</v>
      </c>
      <c r="L133" s="2">
        <v>347000</v>
      </c>
      <c r="M133" s="2">
        <v>232000</v>
      </c>
      <c r="N133" t="s">
        <v>135</v>
      </c>
      <c r="O133">
        <v>29902</v>
      </c>
      <c r="Q133">
        <v>34.5</v>
      </c>
      <c r="AF133">
        <v>141</v>
      </c>
      <c r="AI133">
        <v>169</v>
      </c>
      <c r="AK133">
        <v>1250</v>
      </c>
    </row>
    <row r="134" spans="1:37" hidden="1" x14ac:dyDescent="0.35">
      <c r="A134" t="s">
        <v>2</v>
      </c>
      <c r="B134" t="s">
        <v>131</v>
      </c>
      <c r="C134" s="23" t="s">
        <v>132</v>
      </c>
      <c r="E134" s="22">
        <v>5</v>
      </c>
      <c r="F134" s="23">
        <v>4</v>
      </c>
      <c r="G134" t="s">
        <v>133</v>
      </c>
      <c r="H134" t="s">
        <v>134</v>
      </c>
      <c r="I134" t="s">
        <v>44</v>
      </c>
      <c r="L134" s="2">
        <v>347000</v>
      </c>
      <c r="M134" s="2">
        <v>232000</v>
      </c>
      <c r="N134" t="s">
        <v>135</v>
      </c>
      <c r="O134">
        <v>29902</v>
      </c>
      <c r="Q134">
        <v>36.299999999999997</v>
      </c>
      <c r="AF134">
        <v>170</v>
      </c>
      <c r="AI134">
        <v>204</v>
      </c>
      <c r="AK134">
        <v>1500</v>
      </c>
    </row>
    <row r="135" spans="1:37" hidden="1" x14ac:dyDescent="0.35">
      <c r="A135" t="s">
        <v>2</v>
      </c>
      <c r="B135" t="s">
        <v>131</v>
      </c>
      <c r="C135" s="23" t="s">
        <v>132</v>
      </c>
      <c r="E135" s="22">
        <v>5</v>
      </c>
      <c r="F135" s="23">
        <v>4</v>
      </c>
      <c r="G135" t="s">
        <v>133</v>
      </c>
      <c r="H135" t="s">
        <v>134</v>
      </c>
      <c r="I135" t="s">
        <v>44</v>
      </c>
      <c r="L135" s="2">
        <v>347000</v>
      </c>
      <c r="M135" s="2">
        <v>232000</v>
      </c>
      <c r="N135" t="s">
        <v>135</v>
      </c>
      <c r="O135">
        <v>29902</v>
      </c>
      <c r="Q135">
        <v>57.2</v>
      </c>
      <c r="AF135">
        <v>198</v>
      </c>
      <c r="AI135">
        <v>238</v>
      </c>
      <c r="AK135">
        <v>1750</v>
      </c>
    </row>
    <row r="136" spans="1:37" hidden="1" x14ac:dyDescent="0.35">
      <c r="A136" t="s">
        <v>2</v>
      </c>
      <c r="B136" t="s">
        <v>131</v>
      </c>
      <c r="C136" s="23" t="s">
        <v>136</v>
      </c>
      <c r="E136" s="22">
        <v>5</v>
      </c>
      <c r="F136" s="23">
        <v>4</v>
      </c>
      <c r="G136" t="s">
        <v>137</v>
      </c>
      <c r="H136" t="s">
        <v>138</v>
      </c>
      <c r="I136" t="s">
        <v>44</v>
      </c>
      <c r="L136" s="2">
        <v>388000</v>
      </c>
      <c r="M136" s="2">
        <v>185000</v>
      </c>
      <c r="N136" t="s">
        <v>135</v>
      </c>
      <c r="O136">
        <v>29902</v>
      </c>
      <c r="Q136">
        <v>100.1</v>
      </c>
      <c r="AF136">
        <v>102</v>
      </c>
      <c r="AI136">
        <v>122</v>
      </c>
    </row>
    <row r="137" spans="1:37" hidden="1" x14ac:dyDescent="0.35">
      <c r="A137" t="s">
        <v>2</v>
      </c>
      <c r="B137" t="s">
        <v>131</v>
      </c>
      <c r="C137" s="23" t="s">
        <v>136</v>
      </c>
      <c r="E137" s="22">
        <v>5</v>
      </c>
      <c r="F137" s="23">
        <v>4</v>
      </c>
      <c r="G137" t="s">
        <v>137</v>
      </c>
      <c r="H137" t="s">
        <v>138</v>
      </c>
      <c r="I137" t="s">
        <v>44</v>
      </c>
      <c r="L137" s="2">
        <v>388000</v>
      </c>
      <c r="M137" s="2">
        <v>185000</v>
      </c>
      <c r="N137" t="s">
        <v>135</v>
      </c>
      <c r="O137">
        <v>29902</v>
      </c>
      <c r="Q137">
        <v>166.4</v>
      </c>
      <c r="AF137">
        <v>102</v>
      </c>
      <c r="AI137">
        <v>122</v>
      </c>
    </row>
    <row r="138" spans="1:37" hidden="1" x14ac:dyDescent="0.35">
      <c r="A138" t="s">
        <v>2</v>
      </c>
      <c r="B138" t="s">
        <v>7</v>
      </c>
      <c r="C138" s="23" t="s">
        <v>139</v>
      </c>
      <c r="E138" s="22">
        <v>5</v>
      </c>
      <c r="F138" s="23">
        <v>4</v>
      </c>
      <c r="G138" t="s">
        <v>140</v>
      </c>
      <c r="H138" t="s">
        <v>29</v>
      </c>
      <c r="I138" t="s">
        <v>44</v>
      </c>
      <c r="J138" s="2">
        <v>9.5630559999999996</v>
      </c>
      <c r="K138" s="2">
        <v>45.489722</v>
      </c>
      <c r="L138" s="2">
        <v>9.5630559999999996</v>
      </c>
      <c r="M138" s="2">
        <v>45.489722</v>
      </c>
      <c r="N138" t="s">
        <v>141</v>
      </c>
      <c r="O138">
        <v>4326</v>
      </c>
      <c r="P138">
        <v>106.8</v>
      </c>
      <c r="Q138">
        <v>106.8</v>
      </c>
      <c r="R138">
        <v>106.8</v>
      </c>
      <c r="AE138">
        <v>6</v>
      </c>
      <c r="AF138">
        <v>6</v>
      </c>
      <c r="AG138">
        <v>6</v>
      </c>
      <c r="AH138">
        <v>6</v>
      </c>
      <c r="AI138">
        <v>6</v>
      </c>
      <c r="AJ138">
        <v>6</v>
      </c>
      <c r="AK138">
        <v>1185</v>
      </c>
    </row>
    <row r="139" spans="1:37" hidden="1" x14ac:dyDescent="0.35">
      <c r="A139" t="s">
        <v>2</v>
      </c>
      <c r="B139" t="s">
        <v>7</v>
      </c>
      <c r="C139" s="23" t="s">
        <v>142</v>
      </c>
      <c r="E139" s="22">
        <v>5</v>
      </c>
      <c r="F139" s="23">
        <v>4</v>
      </c>
      <c r="G139" t="s">
        <v>143</v>
      </c>
      <c r="H139" t="s">
        <v>29</v>
      </c>
      <c r="I139" t="s">
        <v>44</v>
      </c>
      <c r="J139" s="2">
        <v>9.463889</v>
      </c>
      <c r="K139" s="2">
        <v>45.413611000000003</v>
      </c>
      <c r="L139" s="2">
        <v>9.463889</v>
      </c>
      <c r="M139" s="2">
        <v>45.413611000000003</v>
      </c>
      <c r="N139" t="s">
        <v>141</v>
      </c>
      <c r="O139">
        <v>4326</v>
      </c>
      <c r="P139">
        <v>9.9008000000000003</v>
      </c>
      <c r="Q139">
        <v>9.9008000000000003</v>
      </c>
      <c r="R139">
        <v>9.9008000000000003</v>
      </c>
      <c r="AE139">
        <v>50</v>
      </c>
      <c r="AF139">
        <v>50</v>
      </c>
      <c r="AG139">
        <v>50</v>
      </c>
      <c r="AH139">
        <v>50</v>
      </c>
      <c r="AI139">
        <v>50</v>
      </c>
      <c r="AJ139">
        <v>50</v>
      </c>
      <c r="AK139">
        <v>1465</v>
      </c>
    </row>
    <row r="140" spans="1:37" hidden="1" x14ac:dyDescent="0.35">
      <c r="A140" t="s">
        <v>2</v>
      </c>
      <c r="B140" t="s">
        <v>7</v>
      </c>
      <c r="C140" s="23" t="s">
        <v>144</v>
      </c>
      <c r="E140" s="22">
        <v>5</v>
      </c>
      <c r="F140" s="23">
        <v>4</v>
      </c>
      <c r="G140" t="s">
        <v>145</v>
      </c>
      <c r="H140" t="s">
        <v>29</v>
      </c>
      <c r="I140" t="s">
        <v>44</v>
      </c>
      <c r="J140" s="2">
        <v>11.176389</v>
      </c>
      <c r="K140" s="2">
        <v>44.947221999999996</v>
      </c>
      <c r="L140" s="2">
        <v>11.176389</v>
      </c>
      <c r="M140" s="2">
        <v>44.947221999999996</v>
      </c>
      <c r="N140" t="s">
        <v>141</v>
      </c>
      <c r="O140">
        <v>4326</v>
      </c>
      <c r="P140">
        <v>824.94719999999995</v>
      </c>
      <c r="Q140">
        <v>824.94719999999995</v>
      </c>
      <c r="R140">
        <v>824.94719999999995</v>
      </c>
      <c r="AK140">
        <v>1165</v>
      </c>
    </row>
    <row r="141" spans="1:37" hidden="1" x14ac:dyDescent="0.35">
      <c r="A141" t="s">
        <v>2</v>
      </c>
      <c r="B141" t="s">
        <v>7</v>
      </c>
      <c r="C141" s="23" t="s">
        <v>146</v>
      </c>
      <c r="E141" s="22">
        <v>5</v>
      </c>
      <c r="F141" s="23">
        <v>4</v>
      </c>
      <c r="G141" t="s">
        <v>147</v>
      </c>
      <c r="H141" t="s">
        <v>29</v>
      </c>
      <c r="I141" t="s">
        <v>44</v>
      </c>
      <c r="J141" s="2">
        <v>11.391944000000001</v>
      </c>
      <c r="K141" s="2">
        <v>44.716667000000001</v>
      </c>
      <c r="L141" s="2">
        <v>11.391944000000001</v>
      </c>
      <c r="M141" s="2">
        <v>44.716667000000001</v>
      </c>
      <c r="N141" t="s">
        <v>141</v>
      </c>
      <c r="O141">
        <v>4326</v>
      </c>
      <c r="P141">
        <v>650.01599999999996</v>
      </c>
      <c r="Q141">
        <v>650.01599999999996</v>
      </c>
      <c r="R141">
        <v>650.01599999999996</v>
      </c>
      <c r="AE141">
        <v>98</v>
      </c>
      <c r="AF141">
        <v>98</v>
      </c>
      <c r="AG141">
        <v>98</v>
      </c>
      <c r="AH141">
        <v>98</v>
      </c>
      <c r="AI141">
        <v>98</v>
      </c>
      <c r="AJ141">
        <v>98</v>
      </c>
      <c r="AK141">
        <v>1253</v>
      </c>
    </row>
    <row r="142" spans="1:37" hidden="1" x14ac:dyDescent="0.35">
      <c r="A142" t="s">
        <v>2</v>
      </c>
      <c r="B142" t="s">
        <v>7</v>
      </c>
      <c r="C142" s="23" t="s">
        <v>148</v>
      </c>
      <c r="E142" s="22">
        <v>5</v>
      </c>
      <c r="F142" s="23">
        <v>4</v>
      </c>
      <c r="G142" t="s">
        <v>149</v>
      </c>
      <c r="H142" t="s">
        <v>29</v>
      </c>
      <c r="I142" t="s">
        <v>44</v>
      </c>
      <c r="J142" s="2">
        <v>12.071389</v>
      </c>
      <c r="K142" s="2">
        <v>44.322499999999998</v>
      </c>
      <c r="L142" s="2">
        <v>12.071389</v>
      </c>
      <c r="M142" s="2">
        <v>44.322499999999998</v>
      </c>
      <c r="N142" t="s">
        <v>141</v>
      </c>
      <c r="O142">
        <v>4326</v>
      </c>
      <c r="P142">
        <v>56.977200000000003</v>
      </c>
      <c r="Q142">
        <v>56.977200000000003</v>
      </c>
      <c r="R142">
        <v>56.977200000000003</v>
      </c>
      <c r="AK142">
        <v>1325</v>
      </c>
    </row>
    <row r="143" spans="1:37" hidden="1" x14ac:dyDescent="0.35">
      <c r="A143" t="s">
        <v>2</v>
      </c>
      <c r="B143" t="s">
        <v>7</v>
      </c>
      <c r="C143" s="23" t="s">
        <v>150</v>
      </c>
      <c r="E143" s="22">
        <v>5</v>
      </c>
      <c r="F143" s="23">
        <v>4</v>
      </c>
      <c r="G143" t="s">
        <v>151</v>
      </c>
      <c r="H143" t="s">
        <v>29</v>
      </c>
      <c r="I143" t="s">
        <v>44</v>
      </c>
      <c r="J143" s="2">
        <v>12.959167000000001</v>
      </c>
      <c r="K143" s="2">
        <v>44.11</v>
      </c>
      <c r="L143" s="2">
        <v>12.959167000000001</v>
      </c>
      <c r="M143" s="2">
        <v>44.11</v>
      </c>
      <c r="N143" t="s">
        <v>141</v>
      </c>
      <c r="O143">
        <v>4326</v>
      </c>
      <c r="P143">
        <v>234</v>
      </c>
      <c r="Q143">
        <v>234</v>
      </c>
      <c r="R143">
        <v>234</v>
      </c>
      <c r="AE143">
        <v>140</v>
      </c>
      <c r="AF143">
        <v>140</v>
      </c>
      <c r="AG143">
        <v>140</v>
      </c>
      <c r="AH143">
        <v>140</v>
      </c>
      <c r="AI143">
        <v>140</v>
      </c>
      <c r="AJ143">
        <v>140</v>
      </c>
      <c r="AK143">
        <v>1325</v>
      </c>
    </row>
    <row r="144" spans="1:37" hidden="1" x14ac:dyDescent="0.35">
      <c r="A144" t="s">
        <v>2</v>
      </c>
      <c r="B144" t="s">
        <v>7</v>
      </c>
      <c r="C144" s="23" t="s">
        <v>152</v>
      </c>
      <c r="E144" s="22">
        <v>5</v>
      </c>
      <c r="F144" s="23">
        <v>4</v>
      </c>
      <c r="G144" t="s">
        <v>153</v>
      </c>
      <c r="H144" t="s">
        <v>29</v>
      </c>
      <c r="I144" t="s">
        <v>44</v>
      </c>
      <c r="J144" s="2">
        <v>13.260278</v>
      </c>
      <c r="K144" s="2">
        <v>43.578611000000002</v>
      </c>
      <c r="L144" s="2">
        <v>13.260278</v>
      </c>
      <c r="M144" s="2">
        <v>43.578611000000002</v>
      </c>
      <c r="N144" t="s">
        <v>141</v>
      </c>
      <c r="O144">
        <v>4326</v>
      </c>
      <c r="P144">
        <v>561.6</v>
      </c>
      <c r="Q144">
        <v>561.6</v>
      </c>
      <c r="R144">
        <v>561.6</v>
      </c>
      <c r="AE144">
        <v>16</v>
      </c>
      <c r="AF144">
        <v>16</v>
      </c>
      <c r="AG144">
        <v>16</v>
      </c>
      <c r="AH144">
        <v>16</v>
      </c>
      <c r="AI144">
        <v>16</v>
      </c>
      <c r="AJ144">
        <v>16</v>
      </c>
      <c r="AK144">
        <v>1300</v>
      </c>
    </row>
    <row r="145" spans="1:37" hidden="1" x14ac:dyDescent="0.35">
      <c r="A145" t="s">
        <v>2</v>
      </c>
      <c r="B145" t="s">
        <v>7</v>
      </c>
      <c r="C145" s="23" t="s">
        <v>154</v>
      </c>
      <c r="E145" s="22">
        <v>5</v>
      </c>
      <c r="F145" s="23">
        <v>4</v>
      </c>
      <c r="G145" t="s">
        <v>155</v>
      </c>
      <c r="H145" t="s">
        <v>29</v>
      </c>
      <c r="I145" t="s">
        <v>44</v>
      </c>
      <c r="J145" s="2">
        <v>13.956944</v>
      </c>
      <c r="K145" s="2">
        <v>42.650832999999999</v>
      </c>
      <c r="L145" s="2">
        <v>13.956944</v>
      </c>
      <c r="M145" s="2">
        <v>42.650832999999999</v>
      </c>
      <c r="N145" t="s">
        <v>141</v>
      </c>
      <c r="O145">
        <v>4326</v>
      </c>
      <c r="P145">
        <v>778.05</v>
      </c>
      <c r="Q145">
        <v>778.05</v>
      </c>
      <c r="R145">
        <v>778.05</v>
      </c>
      <c r="AE145">
        <v>76</v>
      </c>
      <c r="AF145">
        <v>76</v>
      </c>
      <c r="AG145">
        <v>76</v>
      </c>
      <c r="AH145">
        <v>76</v>
      </c>
      <c r="AI145">
        <v>76</v>
      </c>
      <c r="AJ145">
        <v>76</v>
      </c>
      <c r="AK145">
        <v>1295</v>
      </c>
    </row>
    <row r="146" spans="1:37" hidden="1" x14ac:dyDescent="0.35">
      <c r="A146" t="s">
        <v>2</v>
      </c>
      <c r="B146" t="s">
        <v>7</v>
      </c>
      <c r="C146" s="23" t="s">
        <v>156</v>
      </c>
      <c r="E146" s="22">
        <v>5</v>
      </c>
      <c r="F146" s="23">
        <v>4</v>
      </c>
      <c r="G146" t="s">
        <v>157</v>
      </c>
      <c r="H146" t="s">
        <v>29</v>
      </c>
      <c r="I146" t="s">
        <v>44</v>
      </c>
      <c r="J146" s="2">
        <v>16.489443999999999</v>
      </c>
      <c r="K146" s="2">
        <v>40.518889000000001</v>
      </c>
      <c r="L146" s="2">
        <v>16.489443999999999</v>
      </c>
      <c r="M146" s="2">
        <v>40.518889000000001</v>
      </c>
      <c r="N146" t="s">
        <v>141</v>
      </c>
      <c r="O146">
        <v>4326</v>
      </c>
      <c r="P146">
        <v>766.35</v>
      </c>
      <c r="Q146">
        <v>766.35</v>
      </c>
      <c r="R146">
        <v>766.35</v>
      </c>
      <c r="AK146">
        <v>1225</v>
      </c>
    </row>
    <row r="147" spans="1:37" hidden="1" x14ac:dyDescent="0.35">
      <c r="A147" t="s">
        <v>2</v>
      </c>
      <c r="B147" t="s">
        <v>7</v>
      </c>
      <c r="C147" s="23" t="s">
        <v>158</v>
      </c>
      <c r="E147" s="22">
        <v>5</v>
      </c>
      <c r="F147" s="23">
        <v>4</v>
      </c>
      <c r="G147" t="s">
        <v>159</v>
      </c>
      <c r="H147" t="s">
        <v>29</v>
      </c>
      <c r="I147" t="s">
        <v>44</v>
      </c>
      <c r="J147" s="2">
        <v>16.581111</v>
      </c>
      <c r="K147" s="2">
        <v>39.665556000000002</v>
      </c>
      <c r="L147" s="2">
        <v>16.581111</v>
      </c>
      <c r="M147" s="2">
        <v>39.665556000000002</v>
      </c>
      <c r="N147" t="s">
        <v>141</v>
      </c>
      <c r="O147">
        <v>4326</v>
      </c>
      <c r="P147">
        <v>79.56</v>
      </c>
      <c r="Q147">
        <v>79.56</v>
      </c>
      <c r="R147">
        <v>79.56</v>
      </c>
      <c r="AK147">
        <v>1300</v>
      </c>
    </row>
    <row r="148" spans="1:37" hidden="1" x14ac:dyDescent="0.35">
      <c r="A148" t="s">
        <v>2</v>
      </c>
      <c r="B148" t="s">
        <v>7</v>
      </c>
      <c r="C148" s="23" t="s">
        <v>160</v>
      </c>
      <c r="E148" s="22">
        <v>5</v>
      </c>
      <c r="F148" s="23">
        <v>4</v>
      </c>
      <c r="G148" t="s">
        <v>161</v>
      </c>
      <c r="H148" t="s">
        <v>29</v>
      </c>
      <c r="I148" t="s">
        <v>44</v>
      </c>
      <c r="J148" s="2">
        <v>17.170832999999998</v>
      </c>
      <c r="K148" s="2">
        <v>39.213332999999999</v>
      </c>
      <c r="L148" s="2">
        <v>17.170832999999998</v>
      </c>
      <c r="M148" s="2">
        <v>39.213332999999999</v>
      </c>
      <c r="N148" t="s">
        <v>141</v>
      </c>
      <c r="O148">
        <v>4326</v>
      </c>
      <c r="P148">
        <v>205.7286</v>
      </c>
      <c r="Q148">
        <v>205.7286</v>
      </c>
      <c r="R148">
        <v>205.7286</v>
      </c>
      <c r="AK148">
        <v>1062.5</v>
      </c>
    </row>
    <row r="149" spans="1:37" hidden="1" x14ac:dyDescent="0.35">
      <c r="A149" t="s">
        <v>2</v>
      </c>
      <c r="B149" t="s">
        <v>7</v>
      </c>
      <c r="C149" s="23" t="s">
        <v>162</v>
      </c>
      <c r="E149" s="22">
        <v>5</v>
      </c>
      <c r="F149" s="23">
        <v>4</v>
      </c>
      <c r="G149" t="s">
        <v>163</v>
      </c>
      <c r="H149" t="s">
        <v>29</v>
      </c>
      <c r="I149" t="s">
        <v>44</v>
      </c>
      <c r="J149" s="2">
        <v>16.896944000000001</v>
      </c>
      <c r="K149" s="2">
        <v>38.438889000000003</v>
      </c>
      <c r="L149" s="2">
        <v>16.896944000000001</v>
      </c>
      <c r="M149" s="2">
        <v>38.438889000000003</v>
      </c>
      <c r="N149" t="s">
        <v>141</v>
      </c>
      <c r="O149">
        <v>4326</v>
      </c>
      <c r="P149">
        <v>186.732</v>
      </c>
      <c r="Q149">
        <v>186.732</v>
      </c>
      <c r="R149">
        <v>186.732</v>
      </c>
      <c r="AK149">
        <v>1240</v>
      </c>
    </row>
    <row r="150" spans="1:37" hidden="1" x14ac:dyDescent="0.35">
      <c r="A150" t="s">
        <v>2</v>
      </c>
      <c r="B150" t="s">
        <v>7</v>
      </c>
      <c r="C150" s="23" t="s">
        <v>164</v>
      </c>
      <c r="E150" s="22">
        <v>5</v>
      </c>
      <c r="F150" s="23">
        <v>4</v>
      </c>
      <c r="G150" t="s">
        <v>165</v>
      </c>
      <c r="H150" t="s">
        <v>29</v>
      </c>
      <c r="I150" t="s">
        <v>44</v>
      </c>
      <c r="J150" s="2">
        <v>12.508333</v>
      </c>
      <c r="K150" s="2">
        <v>37.772778000000002</v>
      </c>
      <c r="L150" s="2">
        <v>12.508333</v>
      </c>
      <c r="M150" s="2">
        <v>37.772778000000002</v>
      </c>
      <c r="N150" t="s">
        <v>141</v>
      </c>
      <c r="O150">
        <v>4326</v>
      </c>
      <c r="P150">
        <v>70.502399999999994</v>
      </c>
      <c r="Q150">
        <v>70.502399999999994</v>
      </c>
      <c r="R150">
        <v>70.502399999999994</v>
      </c>
      <c r="AK150">
        <v>1145</v>
      </c>
    </row>
    <row r="151" spans="1:37" hidden="1" x14ac:dyDescent="0.35">
      <c r="A151" t="s">
        <v>2</v>
      </c>
      <c r="B151" t="s">
        <v>7</v>
      </c>
      <c r="C151" s="23" t="s">
        <v>166</v>
      </c>
      <c r="E151" s="22">
        <v>5</v>
      </c>
      <c r="F151" s="23">
        <v>4</v>
      </c>
      <c r="G151" t="s">
        <v>167</v>
      </c>
      <c r="H151" t="s">
        <v>29</v>
      </c>
      <c r="I151" t="s">
        <v>44</v>
      </c>
      <c r="J151" s="2">
        <v>14.616389</v>
      </c>
      <c r="K151" s="2">
        <v>42.098610999999998</v>
      </c>
      <c r="L151" s="2">
        <v>14.616389</v>
      </c>
      <c r="M151" s="2">
        <v>42.098610999999998</v>
      </c>
      <c r="N151" t="s">
        <v>141</v>
      </c>
      <c r="O151">
        <v>4326</v>
      </c>
      <c r="P151">
        <v>54.756</v>
      </c>
      <c r="Q151">
        <v>54.756</v>
      </c>
      <c r="R151">
        <v>54.756</v>
      </c>
      <c r="AK151">
        <v>1265</v>
      </c>
    </row>
    <row r="152" spans="1:37" hidden="1" x14ac:dyDescent="0.35">
      <c r="A152" t="s">
        <v>2</v>
      </c>
      <c r="B152" t="s">
        <v>168</v>
      </c>
      <c r="C152" s="23" t="s">
        <v>169</v>
      </c>
      <c r="E152" s="22">
        <v>5</v>
      </c>
      <c r="G152" t="s">
        <v>170</v>
      </c>
      <c r="H152" t="s">
        <v>171</v>
      </c>
      <c r="I152" t="s">
        <v>30</v>
      </c>
      <c r="J152" s="2">
        <v>23.96</v>
      </c>
      <c r="K152" s="2">
        <v>55.18</v>
      </c>
      <c r="L152" s="2">
        <v>23.96</v>
      </c>
      <c r="M152" s="2">
        <v>55.18</v>
      </c>
      <c r="N152" t="s">
        <v>172</v>
      </c>
      <c r="O152">
        <v>4326</v>
      </c>
      <c r="P152">
        <v>73</v>
      </c>
      <c r="Q152">
        <v>78</v>
      </c>
      <c r="R152">
        <v>85</v>
      </c>
      <c r="AE152">
        <v>140</v>
      </c>
      <c r="AF152">
        <v>150</v>
      </c>
      <c r="AG152">
        <v>160</v>
      </c>
      <c r="AH152">
        <v>140</v>
      </c>
      <c r="AI152">
        <v>150</v>
      </c>
      <c r="AJ152">
        <v>160</v>
      </c>
      <c r="AK152">
        <v>1500</v>
      </c>
    </row>
    <row r="153" spans="1:37" hidden="1" x14ac:dyDescent="0.35">
      <c r="A153" t="s">
        <v>2</v>
      </c>
      <c r="B153" t="s">
        <v>173</v>
      </c>
      <c r="C153" s="23" t="s">
        <v>174</v>
      </c>
      <c r="E153" s="22">
        <v>5</v>
      </c>
      <c r="F153" s="23">
        <v>3</v>
      </c>
      <c r="G153" t="s">
        <v>175</v>
      </c>
      <c r="H153" t="s">
        <v>176</v>
      </c>
      <c r="I153" t="s">
        <v>30</v>
      </c>
      <c r="J153" s="2">
        <v>22.33267</v>
      </c>
      <c r="K153" s="2">
        <v>56.60013</v>
      </c>
      <c r="L153" s="2">
        <v>22.33267</v>
      </c>
      <c r="M153" s="2">
        <v>56.60013</v>
      </c>
      <c r="N153" t="s">
        <v>177</v>
      </c>
      <c r="O153">
        <v>4326</v>
      </c>
      <c r="P153">
        <v>1417</v>
      </c>
      <c r="Q153">
        <v>13552</v>
      </c>
      <c r="R153">
        <v>46337</v>
      </c>
      <c r="AE153">
        <v>55</v>
      </c>
      <c r="AF153">
        <v>100</v>
      </c>
      <c r="AG153">
        <v>136</v>
      </c>
      <c r="AH153">
        <v>62.7</v>
      </c>
      <c r="AI153">
        <v>110</v>
      </c>
      <c r="AJ153">
        <v>152</v>
      </c>
      <c r="AK153">
        <v>1000</v>
      </c>
    </row>
    <row r="154" spans="1:37" hidden="1" x14ac:dyDescent="0.35">
      <c r="A154" t="s">
        <v>2</v>
      </c>
      <c r="B154" t="s">
        <v>178</v>
      </c>
      <c r="C154" s="23" t="s">
        <v>179</v>
      </c>
      <c r="E154" s="22">
        <v>5</v>
      </c>
      <c r="F154" s="23">
        <v>4</v>
      </c>
      <c r="G154" t="s">
        <v>180</v>
      </c>
      <c r="H154" t="s">
        <v>181</v>
      </c>
      <c r="I154" t="s">
        <v>44</v>
      </c>
      <c r="L154" s="2">
        <v>587032</v>
      </c>
      <c r="M154" s="2">
        <v>4633025</v>
      </c>
      <c r="N154" t="s">
        <v>182</v>
      </c>
      <c r="O154">
        <v>6316</v>
      </c>
      <c r="P154">
        <v>11.4</v>
      </c>
      <c r="Q154">
        <v>11.4</v>
      </c>
      <c r="R154">
        <v>11.4</v>
      </c>
      <c r="AE154">
        <v>50</v>
      </c>
      <c r="AF154">
        <v>80</v>
      </c>
      <c r="AG154">
        <v>120</v>
      </c>
      <c r="AH154">
        <v>140</v>
      </c>
      <c r="AI154">
        <v>140</v>
      </c>
      <c r="AJ154">
        <v>140</v>
      </c>
      <c r="AK154">
        <v>761</v>
      </c>
    </row>
    <row r="155" spans="1:37" hidden="1" x14ac:dyDescent="0.35">
      <c r="A155" t="s">
        <v>2</v>
      </c>
      <c r="B155" t="s">
        <v>178</v>
      </c>
      <c r="C155" s="23" t="s">
        <v>183</v>
      </c>
      <c r="E155" s="22">
        <v>5</v>
      </c>
      <c r="F155" s="23">
        <v>4</v>
      </c>
      <c r="G155" t="s">
        <v>184</v>
      </c>
      <c r="H155" t="s">
        <v>181</v>
      </c>
      <c r="I155" t="s">
        <v>44</v>
      </c>
      <c r="L155" s="2">
        <v>577142</v>
      </c>
      <c r="M155" s="2">
        <v>4634930</v>
      </c>
      <c r="N155" t="s">
        <v>182</v>
      </c>
      <c r="O155">
        <v>6316</v>
      </c>
      <c r="P155">
        <v>5.6</v>
      </c>
      <c r="Q155">
        <v>5.6</v>
      </c>
      <c r="R155">
        <v>5.6</v>
      </c>
      <c r="AE155">
        <v>70</v>
      </c>
      <c r="AF155">
        <v>95</v>
      </c>
      <c r="AG155">
        <v>120</v>
      </c>
      <c r="AH155">
        <v>120</v>
      </c>
      <c r="AI155">
        <v>120</v>
      </c>
      <c r="AJ155">
        <v>120</v>
      </c>
      <c r="AK155">
        <v>770</v>
      </c>
    </row>
    <row r="156" spans="1:37" hidden="1" x14ac:dyDescent="0.35">
      <c r="A156" t="s">
        <v>2</v>
      </c>
      <c r="B156" t="s">
        <v>178</v>
      </c>
      <c r="C156" s="23" t="s">
        <v>185</v>
      </c>
      <c r="E156" s="22">
        <v>5</v>
      </c>
      <c r="F156" s="23">
        <v>4</v>
      </c>
      <c r="G156" t="s">
        <v>186</v>
      </c>
      <c r="H156" t="s">
        <v>181</v>
      </c>
      <c r="I156" t="s">
        <v>44</v>
      </c>
      <c r="L156" s="2">
        <v>568690</v>
      </c>
      <c r="M156" s="2">
        <v>4625975</v>
      </c>
      <c r="N156" t="s">
        <v>182</v>
      </c>
      <c r="O156">
        <v>6316</v>
      </c>
      <c r="P156">
        <v>3.9</v>
      </c>
      <c r="Q156">
        <v>3.9</v>
      </c>
      <c r="R156">
        <v>3.9</v>
      </c>
      <c r="AE156">
        <v>70</v>
      </c>
      <c r="AF156">
        <v>95</v>
      </c>
      <c r="AG156">
        <v>120</v>
      </c>
      <c r="AH156">
        <v>120</v>
      </c>
      <c r="AI156">
        <v>120</v>
      </c>
      <c r="AJ156">
        <v>120</v>
      </c>
      <c r="AK156">
        <v>593</v>
      </c>
    </row>
    <row r="157" spans="1:37" hidden="1" x14ac:dyDescent="0.35">
      <c r="A157" t="s">
        <v>2</v>
      </c>
      <c r="B157" t="s">
        <v>187</v>
      </c>
      <c r="C157" s="23" t="s">
        <v>188</v>
      </c>
      <c r="E157" s="22">
        <v>5</v>
      </c>
      <c r="F157" s="23">
        <v>4</v>
      </c>
      <c r="G157" t="s">
        <v>189</v>
      </c>
      <c r="H157" t="s">
        <v>29</v>
      </c>
      <c r="I157" t="s">
        <v>44</v>
      </c>
      <c r="L157" s="2">
        <v>460135</v>
      </c>
      <c r="M157" s="2">
        <v>6496104</v>
      </c>
      <c r="N157" t="s">
        <v>190</v>
      </c>
      <c r="O157">
        <v>23031</v>
      </c>
      <c r="Q157">
        <v>15770</v>
      </c>
      <c r="AK157">
        <v>1000</v>
      </c>
    </row>
    <row r="158" spans="1:37" hidden="1" x14ac:dyDescent="0.35">
      <c r="A158" t="s">
        <v>2</v>
      </c>
      <c r="B158" t="s">
        <v>187</v>
      </c>
      <c r="C158" s="23" t="s">
        <v>191</v>
      </c>
      <c r="E158" s="22">
        <v>5</v>
      </c>
      <c r="F158" s="23">
        <v>4</v>
      </c>
      <c r="G158" t="s">
        <v>192</v>
      </c>
      <c r="H158" t="s">
        <v>29</v>
      </c>
      <c r="I158" t="s">
        <v>44</v>
      </c>
      <c r="L158" s="2">
        <v>471776</v>
      </c>
      <c r="M158" s="2">
        <v>6474938</v>
      </c>
      <c r="N158" t="s">
        <v>190</v>
      </c>
      <c r="O158">
        <v>23031</v>
      </c>
      <c r="Q158">
        <v>13600</v>
      </c>
      <c r="AK158">
        <v>1700</v>
      </c>
    </row>
    <row r="159" spans="1:37" hidden="1" x14ac:dyDescent="0.35">
      <c r="A159" t="s">
        <v>2</v>
      </c>
      <c r="B159" t="s">
        <v>187</v>
      </c>
      <c r="C159" s="23" t="s">
        <v>191</v>
      </c>
      <c r="E159" s="22">
        <v>5</v>
      </c>
      <c r="F159" s="23">
        <v>4</v>
      </c>
      <c r="G159" t="s">
        <v>192</v>
      </c>
      <c r="H159" t="s">
        <v>29</v>
      </c>
      <c r="I159" t="s">
        <v>44</v>
      </c>
      <c r="L159" s="2">
        <v>471776</v>
      </c>
      <c r="M159" s="2">
        <v>6474938</v>
      </c>
      <c r="N159" t="s">
        <v>190</v>
      </c>
      <c r="O159">
        <v>23031</v>
      </c>
      <c r="Q159">
        <v>2300</v>
      </c>
      <c r="AK159">
        <v>2000</v>
      </c>
    </row>
    <row r="160" spans="1:37" hidden="1" x14ac:dyDescent="0.35">
      <c r="A160" t="s">
        <v>2</v>
      </c>
      <c r="B160" t="s">
        <v>187</v>
      </c>
      <c r="C160" s="23" t="s">
        <v>193</v>
      </c>
      <c r="E160" s="22">
        <v>5</v>
      </c>
      <c r="F160" s="23">
        <v>4</v>
      </c>
      <c r="G160" t="s">
        <v>194</v>
      </c>
      <c r="H160" t="s">
        <v>29</v>
      </c>
      <c r="I160" t="s">
        <v>44</v>
      </c>
      <c r="L160" s="2">
        <v>541627</v>
      </c>
      <c r="M160" s="2">
        <v>6741638</v>
      </c>
      <c r="N160" t="s">
        <v>190</v>
      </c>
      <c r="O160">
        <v>23031</v>
      </c>
      <c r="Q160">
        <v>4090</v>
      </c>
      <c r="AK160">
        <v>1750</v>
      </c>
    </row>
    <row r="161" spans="1:37" hidden="1" x14ac:dyDescent="0.35">
      <c r="A161" t="s">
        <v>2</v>
      </c>
      <c r="B161" t="s">
        <v>187</v>
      </c>
      <c r="C161" s="23" t="s">
        <v>195</v>
      </c>
      <c r="E161" s="22">
        <v>5</v>
      </c>
      <c r="F161" s="23">
        <v>4</v>
      </c>
      <c r="G161" t="s">
        <v>196</v>
      </c>
      <c r="H161" t="s">
        <v>29</v>
      </c>
      <c r="I161" t="s">
        <v>44</v>
      </c>
      <c r="L161" s="2">
        <v>550093</v>
      </c>
      <c r="M161" s="2">
        <v>6669671</v>
      </c>
      <c r="N161" t="s">
        <v>190</v>
      </c>
      <c r="O161">
        <v>23031</v>
      </c>
      <c r="Q161">
        <v>3590</v>
      </c>
      <c r="AK161">
        <v>2400</v>
      </c>
    </row>
    <row r="162" spans="1:37" hidden="1" x14ac:dyDescent="0.35">
      <c r="A162" t="s">
        <v>2</v>
      </c>
      <c r="B162" t="s">
        <v>187</v>
      </c>
      <c r="C162" s="23" t="s">
        <v>197</v>
      </c>
      <c r="E162" s="22">
        <v>5</v>
      </c>
      <c r="F162" s="23">
        <v>4</v>
      </c>
      <c r="G162" t="s">
        <v>198</v>
      </c>
      <c r="H162" t="s">
        <v>29</v>
      </c>
      <c r="I162" t="s">
        <v>44</v>
      </c>
      <c r="L162" s="2">
        <v>753294</v>
      </c>
      <c r="M162" s="2">
        <v>6379687</v>
      </c>
      <c r="N162" t="s">
        <v>190</v>
      </c>
      <c r="O162">
        <v>23031</v>
      </c>
      <c r="Q162">
        <v>2850</v>
      </c>
      <c r="AK162">
        <v>1700</v>
      </c>
    </row>
    <row r="163" spans="1:37" hidden="1" x14ac:dyDescent="0.35">
      <c r="A163" t="s">
        <v>2</v>
      </c>
      <c r="B163" t="s">
        <v>187</v>
      </c>
      <c r="C163" s="23" t="s">
        <v>199</v>
      </c>
      <c r="E163" s="22">
        <v>5</v>
      </c>
      <c r="F163" s="23">
        <v>4</v>
      </c>
      <c r="G163" t="s">
        <v>200</v>
      </c>
      <c r="H163" t="s">
        <v>29</v>
      </c>
      <c r="I163" t="s">
        <v>44</v>
      </c>
      <c r="L163" s="2">
        <v>534218</v>
      </c>
      <c r="M163" s="2">
        <v>6735288</v>
      </c>
      <c r="N163" t="s">
        <v>190</v>
      </c>
      <c r="O163">
        <v>23031</v>
      </c>
      <c r="Q163">
        <v>1780</v>
      </c>
      <c r="AK163">
        <v>1700</v>
      </c>
    </row>
    <row r="164" spans="1:37" hidden="1" x14ac:dyDescent="0.35">
      <c r="A164" t="s">
        <v>2</v>
      </c>
      <c r="B164" t="s">
        <v>187</v>
      </c>
      <c r="C164" s="23" t="s">
        <v>201</v>
      </c>
      <c r="E164" s="22">
        <v>5</v>
      </c>
      <c r="F164" s="23">
        <v>4</v>
      </c>
      <c r="G164" t="s">
        <v>202</v>
      </c>
      <c r="H164" t="s">
        <v>29</v>
      </c>
      <c r="I164" t="s">
        <v>44</v>
      </c>
      <c r="L164" s="2">
        <v>664393</v>
      </c>
      <c r="M164" s="2">
        <v>6314071</v>
      </c>
      <c r="N164" t="s">
        <v>190</v>
      </c>
      <c r="O164">
        <v>23031</v>
      </c>
      <c r="Q164">
        <v>960</v>
      </c>
      <c r="AK164">
        <v>1600</v>
      </c>
    </row>
    <row r="165" spans="1:37" hidden="1" x14ac:dyDescent="0.35">
      <c r="A165" t="s">
        <v>2</v>
      </c>
      <c r="B165" t="s">
        <v>187</v>
      </c>
      <c r="C165" s="23" t="s">
        <v>203</v>
      </c>
      <c r="E165" s="22">
        <v>5</v>
      </c>
      <c r="F165" s="23">
        <v>4</v>
      </c>
      <c r="G165" t="s">
        <v>204</v>
      </c>
      <c r="H165" t="s">
        <v>29</v>
      </c>
      <c r="I165" t="s">
        <v>44</v>
      </c>
      <c r="L165" s="2">
        <v>505643</v>
      </c>
      <c r="M165" s="2">
        <v>6627338</v>
      </c>
      <c r="N165" t="s">
        <v>190</v>
      </c>
      <c r="O165">
        <v>23031</v>
      </c>
      <c r="Q165">
        <v>90</v>
      </c>
      <c r="AK165">
        <v>1700</v>
      </c>
    </row>
    <row r="166" spans="1:37" hidden="1" x14ac:dyDescent="0.35">
      <c r="A166" t="s">
        <v>2</v>
      </c>
      <c r="B166" t="s">
        <v>205</v>
      </c>
      <c r="C166" s="23" t="s">
        <v>206</v>
      </c>
      <c r="E166" s="22">
        <v>5</v>
      </c>
      <c r="F166" s="23">
        <v>4</v>
      </c>
      <c r="G166" t="s">
        <v>73</v>
      </c>
      <c r="H166" t="s">
        <v>29</v>
      </c>
      <c r="I166" t="s">
        <v>44</v>
      </c>
      <c r="L166" s="2">
        <v>4312150</v>
      </c>
      <c r="M166" s="2">
        <v>5831000</v>
      </c>
      <c r="N166" t="s">
        <v>207</v>
      </c>
      <c r="O166">
        <v>28404</v>
      </c>
      <c r="P166">
        <v>5465.7</v>
      </c>
      <c r="Q166">
        <v>25213.4</v>
      </c>
      <c r="R166">
        <v>547055.1</v>
      </c>
      <c r="AE166">
        <v>5</v>
      </c>
      <c r="AF166">
        <v>113.5</v>
      </c>
      <c r="AG166">
        <v>280</v>
      </c>
      <c r="AH166">
        <v>6</v>
      </c>
      <c r="AI166">
        <v>136.19999999999999</v>
      </c>
      <c r="AJ166">
        <v>336</v>
      </c>
      <c r="AK166">
        <v>1135</v>
      </c>
    </row>
    <row r="167" spans="1:37" hidden="1" x14ac:dyDescent="0.35">
      <c r="A167" t="s">
        <v>2</v>
      </c>
      <c r="B167" t="s">
        <v>205</v>
      </c>
      <c r="C167" s="23" t="s">
        <v>208</v>
      </c>
      <c r="E167" s="22">
        <v>5</v>
      </c>
      <c r="F167" s="23">
        <v>4</v>
      </c>
      <c r="G167" t="s">
        <v>209</v>
      </c>
      <c r="H167" t="s">
        <v>29</v>
      </c>
      <c r="I167" t="s">
        <v>44</v>
      </c>
      <c r="L167" s="2">
        <v>4329192.2</v>
      </c>
      <c r="M167" s="2">
        <v>5847182</v>
      </c>
      <c r="N167" t="s">
        <v>207</v>
      </c>
      <c r="O167">
        <v>28404</v>
      </c>
      <c r="P167">
        <v>864.6</v>
      </c>
      <c r="Q167">
        <v>39663.300000000003</v>
      </c>
      <c r="R167">
        <v>1157270.2</v>
      </c>
      <c r="AE167">
        <v>75</v>
      </c>
      <c r="AF167">
        <v>165</v>
      </c>
      <c r="AG167">
        <v>390</v>
      </c>
      <c r="AH167">
        <v>90</v>
      </c>
      <c r="AI167">
        <v>198</v>
      </c>
      <c r="AJ167">
        <v>468</v>
      </c>
      <c r="AK167">
        <v>1650</v>
      </c>
    </row>
    <row r="168" spans="1:37" hidden="1" x14ac:dyDescent="0.35">
      <c r="A168" t="s">
        <v>2</v>
      </c>
      <c r="B168" t="s">
        <v>205</v>
      </c>
      <c r="C168" s="23" t="s">
        <v>208</v>
      </c>
      <c r="E168" s="22">
        <v>5</v>
      </c>
      <c r="F168" s="23">
        <v>4</v>
      </c>
      <c r="G168" t="s">
        <v>209</v>
      </c>
      <c r="H168" t="s">
        <v>29</v>
      </c>
      <c r="I168" t="s">
        <v>44</v>
      </c>
      <c r="L168" s="2">
        <v>4329192.2</v>
      </c>
      <c r="M168" s="2">
        <v>5847182</v>
      </c>
      <c r="N168" t="s">
        <v>207</v>
      </c>
      <c r="O168">
        <v>28404</v>
      </c>
      <c r="P168">
        <v>864.6</v>
      </c>
      <c r="Q168">
        <v>40568.6</v>
      </c>
      <c r="R168">
        <v>931783.9</v>
      </c>
      <c r="AE168">
        <v>75</v>
      </c>
      <c r="AF168">
        <v>170</v>
      </c>
      <c r="AG168">
        <v>400</v>
      </c>
      <c r="AH168">
        <v>90</v>
      </c>
      <c r="AI168">
        <v>204</v>
      </c>
      <c r="AJ168">
        <v>480</v>
      </c>
      <c r="AK168">
        <v>1700</v>
      </c>
    </row>
    <row r="169" spans="1:37" hidden="1" x14ac:dyDescent="0.35">
      <c r="A169" t="s">
        <v>2</v>
      </c>
      <c r="B169" t="s">
        <v>205</v>
      </c>
      <c r="C169" s="23" t="s">
        <v>210</v>
      </c>
      <c r="E169" s="22">
        <v>5</v>
      </c>
      <c r="F169" s="23">
        <v>4</v>
      </c>
      <c r="G169" t="s">
        <v>211</v>
      </c>
      <c r="H169" t="s">
        <v>29</v>
      </c>
      <c r="I169" t="s">
        <v>44</v>
      </c>
      <c r="L169" s="2">
        <v>4329192.2</v>
      </c>
      <c r="M169" s="2">
        <v>5847182</v>
      </c>
      <c r="N169" t="s">
        <v>207</v>
      </c>
      <c r="O169">
        <v>28404</v>
      </c>
      <c r="P169">
        <v>0</v>
      </c>
      <c r="Q169">
        <v>93202.3</v>
      </c>
      <c r="R169">
        <v>546419.69999999995</v>
      </c>
      <c r="AE169">
        <v>360</v>
      </c>
      <c r="AF169">
        <v>400</v>
      </c>
      <c r="AG169">
        <v>450</v>
      </c>
      <c r="AH169">
        <v>432</v>
      </c>
      <c r="AI169">
        <v>480</v>
      </c>
      <c r="AJ169">
        <v>540</v>
      </c>
      <c r="AK169">
        <v>4000</v>
      </c>
    </row>
    <row r="170" spans="1:37" hidden="1" x14ac:dyDescent="0.35">
      <c r="A170" t="s">
        <v>2</v>
      </c>
      <c r="B170" t="s">
        <v>212</v>
      </c>
      <c r="C170" s="23" t="s">
        <v>213</v>
      </c>
      <c r="E170" s="22">
        <v>5</v>
      </c>
      <c r="G170" t="s">
        <v>214</v>
      </c>
      <c r="H170" t="s">
        <v>29</v>
      </c>
      <c r="I170" t="s">
        <v>30</v>
      </c>
      <c r="L170" s="2">
        <v>265284.40299999999</v>
      </c>
      <c r="M170" s="2">
        <v>4976058.665</v>
      </c>
      <c r="N170" t="s">
        <v>215</v>
      </c>
      <c r="O170">
        <v>32635</v>
      </c>
      <c r="P170">
        <v>335</v>
      </c>
      <c r="Q170">
        <v>400</v>
      </c>
      <c r="R170">
        <v>1343</v>
      </c>
      <c r="AE170">
        <v>78</v>
      </c>
      <c r="AH170">
        <v>93.6</v>
      </c>
    </row>
    <row r="171" spans="1:37" hidden="1" x14ac:dyDescent="0.35">
      <c r="A171" t="s">
        <v>2</v>
      </c>
      <c r="B171" t="s">
        <v>212</v>
      </c>
      <c r="C171" s="23" t="s">
        <v>216</v>
      </c>
      <c r="E171" s="22">
        <v>5</v>
      </c>
      <c r="G171" t="s">
        <v>217</v>
      </c>
      <c r="H171" t="s">
        <v>29</v>
      </c>
      <c r="I171" t="s">
        <v>30</v>
      </c>
      <c r="L171" s="2">
        <v>427734.88500000001</v>
      </c>
      <c r="M171" s="2">
        <v>4992487.4390000002</v>
      </c>
      <c r="N171" t="s">
        <v>215</v>
      </c>
      <c r="O171">
        <v>32635</v>
      </c>
      <c r="P171">
        <v>994.3</v>
      </c>
      <c r="Q171">
        <v>1000</v>
      </c>
      <c r="R171">
        <v>2485.6</v>
      </c>
      <c r="AE171">
        <v>100</v>
      </c>
      <c r="AH171">
        <v>120</v>
      </c>
    </row>
    <row r="172" spans="1:37" hidden="1" x14ac:dyDescent="0.35">
      <c r="A172" t="s">
        <v>2</v>
      </c>
      <c r="B172" t="s">
        <v>212</v>
      </c>
      <c r="C172" s="23" t="s">
        <v>218</v>
      </c>
      <c r="E172" s="22">
        <v>5</v>
      </c>
      <c r="G172" t="s">
        <v>219</v>
      </c>
      <c r="H172" t="s">
        <v>29</v>
      </c>
      <c r="I172" t="s">
        <v>30</v>
      </c>
      <c r="L172" s="2">
        <v>393617.05099999998</v>
      </c>
      <c r="M172" s="2">
        <v>4911977.3329999996</v>
      </c>
      <c r="N172" t="s">
        <v>215</v>
      </c>
      <c r="O172">
        <v>32635</v>
      </c>
      <c r="P172">
        <v>1674.8</v>
      </c>
      <c r="Q172">
        <v>1800</v>
      </c>
      <c r="R172">
        <v>6699.4</v>
      </c>
      <c r="AE172">
        <v>400</v>
      </c>
      <c r="AH172">
        <v>480</v>
      </c>
    </row>
    <row r="173" spans="1:37" hidden="1" x14ac:dyDescent="0.35">
      <c r="A173" t="s">
        <v>2</v>
      </c>
      <c r="B173" t="s">
        <v>212</v>
      </c>
      <c r="C173" s="23" t="s">
        <v>220</v>
      </c>
      <c r="E173" s="22">
        <v>5</v>
      </c>
      <c r="G173" t="s">
        <v>221</v>
      </c>
      <c r="H173" t="s">
        <v>29</v>
      </c>
      <c r="I173" t="s">
        <v>30</v>
      </c>
      <c r="L173" s="2">
        <v>383140.66</v>
      </c>
      <c r="M173" s="2">
        <v>4908641.0880000005</v>
      </c>
      <c r="N173" t="s">
        <v>215</v>
      </c>
      <c r="O173">
        <v>32635</v>
      </c>
      <c r="P173">
        <v>1325</v>
      </c>
      <c r="Q173">
        <v>1500</v>
      </c>
      <c r="R173">
        <v>2208</v>
      </c>
      <c r="AE173">
        <v>100</v>
      </c>
      <c r="AH173">
        <v>120</v>
      </c>
    </row>
    <row r="174" spans="1:37" hidden="1" x14ac:dyDescent="0.35">
      <c r="A174" t="s">
        <v>2</v>
      </c>
      <c r="B174" t="s">
        <v>212</v>
      </c>
      <c r="C174" s="23" t="s">
        <v>222</v>
      </c>
      <c r="E174" s="22">
        <v>5</v>
      </c>
      <c r="G174" t="s">
        <v>223</v>
      </c>
      <c r="H174" t="s">
        <v>29</v>
      </c>
      <c r="I174" t="s">
        <v>30</v>
      </c>
      <c r="L174" s="2">
        <v>106492.026</v>
      </c>
      <c r="M174" s="2">
        <v>5168049.22</v>
      </c>
      <c r="N174" t="s">
        <v>215</v>
      </c>
      <c r="O174">
        <v>32635</v>
      </c>
      <c r="P174">
        <v>2194.4</v>
      </c>
      <c r="Q174">
        <v>2400</v>
      </c>
      <c r="R174">
        <v>4388.8</v>
      </c>
      <c r="AE174">
        <v>97</v>
      </c>
      <c r="AF174">
        <v>100</v>
      </c>
      <c r="AG174">
        <v>233</v>
      </c>
      <c r="AH174">
        <v>116.4</v>
      </c>
      <c r="AK174">
        <v>167</v>
      </c>
    </row>
    <row r="175" spans="1:37" hidden="1" x14ac:dyDescent="0.35">
      <c r="A175" t="s">
        <v>2</v>
      </c>
      <c r="B175" t="s">
        <v>212</v>
      </c>
      <c r="C175" s="23" t="s">
        <v>224</v>
      </c>
      <c r="E175" s="22">
        <v>5</v>
      </c>
      <c r="G175" t="s">
        <v>225</v>
      </c>
      <c r="H175" t="s">
        <v>29</v>
      </c>
      <c r="I175" t="s">
        <v>30</v>
      </c>
      <c r="L175" s="2">
        <v>84884.895000000004</v>
      </c>
      <c r="M175" s="2">
        <v>5154827.4479999999</v>
      </c>
      <c r="N175" t="s">
        <v>215</v>
      </c>
      <c r="O175">
        <v>32635</v>
      </c>
      <c r="P175">
        <v>676.4</v>
      </c>
      <c r="Q175">
        <v>800</v>
      </c>
      <c r="R175">
        <v>2705.6</v>
      </c>
      <c r="AE175">
        <v>85</v>
      </c>
      <c r="AF175">
        <v>42.5</v>
      </c>
      <c r="AG175">
        <v>100</v>
      </c>
      <c r="AH175">
        <v>102</v>
      </c>
      <c r="AK175">
        <v>85</v>
      </c>
    </row>
    <row r="176" spans="1:37" hidden="1" x14ac:dyDescent="0.35">
      <c r="A176" t="s">
        <v>2</v>
      </c>
      <c r="B176" t="s">
        <v>212</v>
      </c>
      <c r="C176" s="23" t="s">
        <v>226</v>
      </c>
      <c r="E176" s="22">
        <v>5</v>
      </c>
      <c r="G176" t="s">
        <v>227</v>
      </c>
      <c r="H176" t="s">
        <v>29</v>
      </c>
      <c r="I176" t="s">
        <v>30</v>
      </c>
      <c r="L176" s="2">
        <v>387881.73800000001</v>
      </c>
      <c r="M176" s="2">
        <v>4933787.0130000003</v>
      </c>
      <c r="N176" t="s">
        <v>215</v>
      </c>
      <c r="O176">
        <v>32635</v>
      </c>
      <c r="P176">
        <v>1355.7</v>
      </c>
      <c r="Q176">
        <v>1500</v>
      </c>
      <c r="R176">
        <v>12906.3</v>
      </c>
      <c r="AE176">
        <v>189</v>
      </c>
      <c r="AG176">
        <v>200</v>
      </c>
      <c r="AH176">
        <v>240</v>
      </c>
    </row>
    <row r="177" spans="1:37" hidden="1" x14ac:dyDescent="0.35">
      <c r="A177" t="s">
        <v>2</v>
      </c>
      <c r="B177" t="s">
        <v>212</v>
      </c>
      <c r="C177" s="23" t="s">
        <v>228</v>
      </c>
      <c r="E177" s="22">
        <v>5</v>
      </c>
      <c r="G177" t="s">
        <v>229</v>
      </c>
      <c r="H177" t="s">
        <v>29</v>
      </c>
      <c r="I177" t="s">
        <v>30</v>
      </c>
      <c r="L177" s="2">
        <v>377137.49800000002</v>
      </c>
      <c r="M177" s="2">
        <v>4930741.2079999996</v>
      </c>
      <c r="N177" t="s">
        <v>215</v>
      </c>
      <c r="O177">
        <v>32635</v>
      </c>
      <c r="P177">
        <v>912.4</v>
      </c>
      <c r="Q177">
        <v>1000</v>
      </c>
      <c r="R177">
        <v>1459.8</v>
      </c>
      <c r="AE177">
        <v>90</v>
      </c>
      <c r="AH177">
        <v>108</v>
      </c>
    </row>
    <row r="178" spans="1:37" hidden="1" x14ac:dyDescent="0.35">
      <c r="A178" t="s">
        <v>2</v>
      </c>
      <c r="B178" t="s">
        <v>212</v>
      </c>
      <c r="C178" s="23" t="s">
        <v>230</v>
      </c>
      <c r="E178" s="22">
        <v>5</v>
      </c>
      <c r="G178" t="s">
        <v>231</v>
      </c>
      <c r="H178" t="s">
        <v>29</v>
      </c>
      <c r="I178" t="s">
        <v>30</v>
      </c>
      <c r="L178" s="2">
        <v>551565.68999999994</v>
      </c>
      <c r="M178" s="2">
        <v>5085511.1900000004</v>
      </c>
      <c r="N178" t="s">
        <v>215</v>
      </c>
      <c r="O178">
        <v>32635</v>
      </c>
      <c r="P178">
        <v>6319.8</v>
      </c>
      <c r="Q178">
        <v>800</v>
      </c>
      <c r="R178">
        <v>1239.5999999999999</v>
      </c>
      <c r="AE178">
        <v>105</v>
      </c>
      <c r="AH178">
        <v>126</v>
      </c>
    </row>
    <row r="179" spans="1:37" hidden="1" x14ac:dyDescent="0.35">
      <c r="A179" t="s">
        <v>2</v>
      </c>
      <c r="B179" t="s">
        <v>212</v>
      </c>
      <c r="C179" s="23" t="s">
        <v>232</v>
      </c>
      <c r="E179" s="22">
        <v>5</v>
      </c>
      <c r="G179" t="s">
        <v>233</v>
      </c>
      <c r="H179" t="s">
        <v>29</v>
      </c>
      <c r="I179" t="s">
        <v>30</v>
      </c>
      <c r="L179" s="2">
        <v>231298.02900000001</v>
      </c>
      <c r="M179" s="2">
        <v>4959065.6380000003</v>
      </c>
      <c r="N179" t="s">
        <v>215</v>
      </c>
      <c r="O179">
        <v>32635</v>
      </c>
      <c r="P179">
        <v>810.2</v>
      </c>
      <c r="Q179">
        <v>1000</v>
      </c>
      <c r="R179">
        <v>3240.6</v>
      </c>
      <c r="AE179">
        <v>110</v>
      </c>
      <c r="AH179">
        <v>132</v>
      </c>
    </row>
    <row r="180" spans="1:37" hidden="1" x14ac:dyDescent="0.35">
      <c r="A180" t="s">
        <v>2</v>
      </c>
      <c r="B180" t="s">
        <v>212</v>
      </c>
      <c r="C180" s="23" t="s">
        <v>234</v>
      </c>
      <c r="E180" s="22">
        <v>5</v>
      </c>
      <c r="G180" t="s">
        <v>235</v>
      </c>
      <c r="H180" t="s">
        <v>29</v>
      </c>
      <c r="I180" t="s">
        <v>30</v>
      </c>
      <c r="L180" s="2">
        <v>314142.25199999998</v>
      </c>
      <c r="M180" s="2">
        <v>5138667.4469999997</v>
      </c>
      <c r="N180" t="s">
        <v>215</v>
      </c>
      <c r="O180">
        <v>32635</v>
      </c>
      <c r="P180">
        <v>2696.8</v>
      </c>
      <c r="Q180">
        <v>3000</v>
      </c>
      <c r="R180">
        <v>5393.5</v>
      </c>
      <c r="AE180">
        <v>107</v>
      </c>
      <c r="AH180">
        <v>128.4</v>
      </c>
      <c r="AK180">
        <v>107.5</v>
      </c>
    </row>
    <row r="181" spans="1:37" hidden="1" x14ac:dyDescent="0.35">
      <c r="A181" t="s">
        <v>2</v>
      </c>
      <c r="B181" t="s">
        <v>212</v>
      </c>
      <c r="C181" s="23" t="s">
        <v>236</v>
      </c>
      <c r="E181" s="22">
        <v>5</v>
      </c>
      <c r="G181" t="s">
        <v>237</v>
      </c>
      <c r="H181" t="s">
        <v>238</v>
      </c>
      <c r="I181" t="s">
        <v>30</v>
      </c>
      <c r="L181" s="2">
        <v>417646.61200000002</v>
      </c>
      <c r="M181" s="2">
        <v>4986909.3169999998</v>
      </c>
      <c r="N181" t="s">
        <v>215</v>
      </c>
      <c r="O181">
        <v>32635</v>
      </c>
      <c r="P181">
        <v>234.4</v>
      </c>
      <c r="Q181">
        <v>300</v>
      </c>
      <c r="R181">
        <v>937.7</v>
      </c>
      <c r="AE181">
        <v>100</v>
      </c>
      <c r="AH181">
        <v>120</v>
      </c>
    </row>
    <row r="182" spans="1:37" hidden="1" x14ac:dyDescent="0.35">
      <c r="A182" t="s">
        <v>2</v>
      </c>
      <c r="B182" t="s">
        <v>212</v>
      </c>
      <c r="C182" s="23" t="s">
        <v>239</v>
      </c>
      <c r="E182" s="22">
        <v>5</v>
      </c>
      <c r="F182" s="23">
        <v>4</v>
      </c>
      <c r="G182" t="s">
        <v>240</v>
      </c>
      <c r="H182" t="s">
        <v>29</v>
      </c>
      <c r="I182" t="s">
        <v>44</v>
      </c>
      <c r="L182" s="2">
        <v>509735.75599999999</v>
      </c>
      <c r="M182" s="2">
        <v>5213790.1869999999</v>
      </c>
      <c r="N182" t="s">
        <v>215</v>
      </c>
      <c r="O182">
        <v>32635</v>
      </c>
      <c r="P182">
        <v>1234.9000000000001</v>
      </c>
      <c r="Q182">
        <v>1400</v>
      </c>
      <c r="R182">
        <v>4939.8</v>
      </c>
      <c r="AE182">
        <v>300</v>
      </c>
      <c r="AH182">
        <v>360</v>
      </c>
    </row>
    <row r="183" spans="1:37" hidden="1" x14ac:dyDescent="0.35">
      <c r="A183" t="s">
        <v>2</v>
      </c>
      <c r="B183" t="s">
        <v>212</v>
      </c>
      <c r="C183" s="23" t="s">
        <v>241</v>
      </c>
      <c r="E183" s="22">
        <v>5</v>
      </c>
      <c r="G183" t="s">
        <v>242</v>
      </c>
      <c r="H183" t="s">
        <v>29</v>
      </c>
      <c r="I183" t="s">
        <v>30</v>
      </c>
      <c r="L183" s="2">
        <v>503365.06300000002</v>
      </c>
      <c r="M183" s="2">
        <v>5227842.4330000002</v>
      </c>
      <c r="N183" t="s">
        <v>215</v>
      </c>
      <c r="O183">
        <v>32635</v>
      </c>
      <c r="P183">
        <v>603.20000000000005</v>
      </c>
      <c r="Q183">
        <v>700</v>
      </c>
      <c r="R183">
        <v>2412.8000000000002</v>
      </c>
      <c r="AE183">
        <v>150</v>
      </c>
      <c r="AH183">
        <v>216</v>
      </c>
    </row>
    <row r="184" spans="1:37" hidden="1" x14ac:dyDescent="0.35">
      <c r="A184" t="s">
        <v>2</v>
      </c>
      <c r="B184" t="s">
        <v>212</v>
      </c>
      <c r="C184" s="23" t="s">
        <v>243</v>
      </c>
      <c r="E184" s="22">
        <v>5</v>
      </c>
      <c r="F184" s="23">
        <v>4</v>
      </c>
      <c r="G184" t="s">
        <v>244</v>
      </c>
      <c r="H184" t="s">
        <v>245</v>
      </c>
      <c r="I184" t="s">
        <v>44</v>
      </c>
      <c r="L184" s="2">
        <v>448294.73100000003</v>
      </c>
      <c r="M184" s="2">
        <v>5215231.7189999996</v>
      </c>
      <c r="N184" t="s">
        <v>215</v>
      </c>
      <c r="O184">
        <v>32635</v>
      </c>
      <c r="P184">
        <v>242.3</v>
      </c>
      <c r="Q184">
        <v>400</v>
      </c>
      <c r="R184">
        <v>969.3</v>
      </c>
      <c r="AE184">
        <v>100</v>
      </c>
      <c r="AH184">
        <v>120</v>
      </c>
    </row>
    <row r="185" spans="1:37" hidden="1" x14ac:dyDescent="0.35">
      <c r="A185" t="s">
        <v>2</v>
      </c>
      <c r="B185" t="s">
        <v>246</v>
      </c>
      <c r="C185" s="23" t="s">
        <v>247</v>
      </c>
      <c r="E185" s="22">
        <v>5</v>
      </c>
      <c r="G185" t="s">
        <v>248</v>
      </c>
      <c r="H185" t="s">
        <v>249</v>
      </c>
      <c r="I185" t="s">
        <v>30</v>
      </c>
      <c r="L185" s="2">
        <v>5153350</v>
      </c>
      <c r="M185" s="2">
        <v>5578732</v>
      </c>
      <c r="N185" t="s">
        <v>250</v>
      </c>
      <c r="O185" s="24">
        <v>3906</v>
      </c>
      <c r="P185">
        <v>0.7</v>
      </c>
      <c r="Q185">
        <v>1.75</v>
      </c>
      <c r="R185">
        <v>3.5</v>
      </c>
      <c r="AE185">
        <v>165</v>
      </c>
      <c r="AJ185">
        <v>173</v>
      </c>
      <c r="AK185">
        <v>1690</v>
      </c>
    </row>
    <row r="186" spans="1:37" hidden="1" x14ac:dyDescent="0.35">
      <c r="A186" t="s">
        <v>2</v>
      </c>
      <c r="B186" t="s">
        <v>246</v>
      </c>
      <c r="C186" s="23" t="s">
        <v>247</v>
      </c>
      <c r="E186" s="22">
        <v>5</v>
      </c>
      <c r="G186" t="s">
        <v>248</v>
      </c>
      <c r="H186" t="s">
        <v>249</v>
      </c>
      <c r="I186" t="s">
        <v>30</v>
      </c>
      <c r="L186" s="2">
        <v>5153350</v>
      </c>
      <c r="M186" s="2">
        <v>5578732</v>
      </c>
      <c r="N186" t="s">
        <v>250</v>
      </c>
      <c r="O186" s="24">
        <v>3906</v>
      </c>
      <c r="P186">
        <v>0.15</v>
      </c>
      <c r="Q186">
        <v>0.39</v>
      </c>
      <c r="R186">
        <v>0.75</v>
      </c>
      <c r="AE186">
        <v>155</v>
      </c>
      <c r="AJ186">
        <v>160</v>
      </c>
    </row>
    <row r="187" spans="1:37" hidden="1" x14ac:dyDescent="0.35">
      <c r="A187" t="s">
        <v>2</v>
      </c>
      <c r="B187" t="s">
        <v>246</v>
      </c>
      <c r="C187" s="23" t="s">
        <v>247</v>
      </c>
      <c r="E187" s="22">
        <v>5</v>
      </c>
      <c r="G187" t="s">
        <v>248</v>
      </c>
      <c r="H187" t="s">
        <v>249</v>
      </c>
      <c r="I187" t="s">
        <v>30</v>
      </c>
      <c r="L187" s="2">
        <v>5153350</v>
      </c>
      <c r="M187" s="2">
        <v>5578732</v>
      </c>
      <c r="N187" t="s">
        <v>250</v>
      </c>
      <c r="O187" s="24">
        <v>3906</v>
      </c>
      <c r="P187">
        <v>0.1</v>
      </c>
      <c r="Q187">
        <v>0.26</v>
      </c>
      <c r="R187">
        <v>0.52</v>
      </c>
      <c r="AE187">
        <v>131</v>
      </c>
      <c r="AJ187">
        <v>139</v>
      </c>
      <c r="AK187">
        <v>1350</v>
      </c>
    </row>
    <row r="188" spans="1:37" hidden="1" x14ac:dyDescent="0.35">
      <c r="A188" t="s">
        <v>2</v>
      </c>
      <c r="B188" t="s">
        <v>246</v>
      </c>
      <c r="C188" s="23" t="s">
        <v>247</v>
      </c>
      <c r="E188" s="22">
        <v>5</v>
      </c>
      <c r="G188" t="s">
        <v>248</v>
      </c>
      <c r="H188" t="s">
        <v>436</v>
      </c>
      <c r="I188" t="s">
        <v>30</v>
      </c>
      <c r="L188" s="2">
        <v>5153350</v>
      </c>
      <c r="M188" s="2">
        <v>5578732</v>
      </c>
      <c r="N188" t="s">
        <v>250</v>
      </c>
      <c r="O188" s="24">
        <v>3906</v>
      </c>
      <c r="P188">
        <v>1.27</v>
      </c>
      <c r="Q188">
        <v>3.17</v>
      </c>
      <c r="R188">
        <v>6.34</v>
      </c>
      <c r="AE188">
        <v>124</v>
      </c>
      <c r="AJ188">
        <v>133</v>
      </c>
      <c r="AK188">
        <v>1285</v>
      </c>
    </row>
    <row r="189" spans="1:37" hidden="1" x14ac:dyDescent="0.35">
      <c r="A189" t="s">
        <v>2</v>
      </c>
      <c r="B189" t="s">
        <v>251</v>
      </c>
      <c r="C189" s="23" t="s">
        <v>252</v>
      </c>
      <c r="E189" s="22">
        <v>5</v>
      </c>
      <c r="G189" t="s">
        <v>253</v>
      </c>
      <c r="H189" t="s">
        <v>29</v>
      </c>
      <c r="I189" t="s">
        <v>30</v>
      </c>
      <c r="L189" s="2">
        <v>127177</v>
      </c>
      <c r="M189" s="2">
        <v>5711322</v>
      </c>
      <c r="N189" t="s">
        <v>254</v>
      </c>
      <c r="O189" s="24">
        <v>3035</v>
      </c>
      <c r="P189">
        <v>900</v>
      </c>
      <c r="Q189">
        <v>1500</v>
      </c>
      <c r="R189">
        <v>2939</v>
      </c>
      <c r="AE189">
        <v>95</v>
      </c>
      <c r="AF189">
        <v>110</v>
      </c>
      <c r="AG189">
        <v>126</v>
      </c>
      <c r="AH189">
        <v>117</v>
      </c>
      <c r="AI189">
        <v>126</v>
      </c>
      <c r="AJ189">
        <v>135</v>
      </c>
      <c r="AK189">
        <v>1100</v>
      </c>
    </row>
    <row r="190" spans="1:37" hidden="1" x14ac:dyDescent="0.35">
      <c r="A190" t="s">
        <v>2</v>
      </c>
      <c r="B190" t="s">
        <v>251</v>
      </c>
      <c r="C190" s="23" t="s">
        <v>255</v>
      </c>
      <c r="E190" s="22">
        <v>5</v>
      </c>
      <c r="G190" t="s">
        <v>256</v>
      </c>
      <c r="H190" t="s">
        <v>257</v>
      </c>
      <c r="I190" t="s">
        <v>30</v>
      </c>
      <c r="L190" s="2">
        <v>-166698.799959</v>
      </c>
      <c r="M190" s="2">
        <v>5680026.2248200001</v>
      </c>
      <c r="N190" t="s">
        <v>80</v>
      </c>
      <c r="O190" s="24">
        <v>3035</v>
      </c>
      <c r="P190">
        <v>1.5</v>
      </c>
      <c r="Q190">
        <v>1.98</v>
      </c>
      <c r="R190">
        <v>2.5</v>
      </c>
      <c r="AE190">
        <v>130</v>
      </c>
      <c r="AF190">
        <v>140</v>
      </c>
      <c r="AG190">
        <v>150</v>
      </c>
      <c r="AH190">
        <v>140</v>
      </c>
      <c r="AI190">
        <v>150</v>
      </c>
      <c r="AJ190">
        <v>160</v>
      </c>
      <c r="AK190">
        <v>1000</v>
      </c>
    </row>
    <row r="191" spans="1:37" hidden="1" x14ac:dyDescent="0.35">
      <c r="A191" t="s">
        <v>2</v>
      </c>
      <c r="B191" t="s">
        <v>251</v>
      </c>
      <c r="C191" s="23" t="s">
        <v>258</v>
      </c>
      <c r="E191" s="22">
        <v>5</v>
      </c>
      <c r="F191" s="23">
        <v>4</v>
      </c>
      <c r="G191" t="s">
        <v>259</v>
      </c>
      <c r="H191" t="s">
        <v>29</v>
      </c>
      <c r="I191" t="s">
        <v>44</v>
      </c>
      <c r="L191" s="2">
        <v>139214</v>
      </c>
      <c r="M191" s="2">
        <v>5708446</v>
      </c>
      <c r="N191" t="s">
        <v>80</v>
      </c>
      <c r="O191" s="24">
        <v>3035</v>
      </c>
      <c r="P191">
        <v>51</v>
      </c>
      <c r="Q191">
        <v>223</v>
      </c>
      <c r="R191">
        <v>519</v>
      </c>
      <c r="AE191">
        <v>68</v>
      </c>
      <c r="AF191">
        <v>75</v>
      </c>
      <c r="AG191">
        <v>82</v>
      </c>
      <c r="AH191">
        <v>75</v>
      </c>
      <c r="AI191">
        <v>82</v>
      </c>
      <c r="AJ191">
        <v>90</v>
      </c>
      <c r="AK191">
        <v>750</v>
      </c>
    </row>
    <row r="192" spans="1:37" hidden="1" x14ac:dyDescent="0.35">
      <c r="A192" t="s">
        <v>2</v>
      </c>
      <c r="B192" t="s">
        <v>251</v>
      </c>
      <c r="C192" s="23" t="s">
        <v>260</v>
      </c>
      <c r="E192" s="22">
        <v>5</v>
      </c>
      <c r="G192" t="s">
        <v>261</v>
      </c>
      <c r="H192" t="s">
        <v>262</v>
      </c>
      <c r="I192" t="s">
        <v>30</v>
      </c>
      <c r="L192" s="2">
        <v>71553.588614599998</v>
      </c>
      <c r="M192" s="2">
        <v>5767242.76865</v>
      </c>
      <c r="N192" t="s">
        <v>80</v>
      </c>
      <c r="O192" s="24">
        <v>3035</v>
      </c>
      <c r="P192">
        <v>0.5</v>
      </c>
      <c r="Q192">
        <v>1</v>
      </c>
      <c r="R192">
        <v>1.5</v>
      </c>
      <c r="AE192">
        <v>180</v>
      </c>
      <c r="AF192">
        <v>200</v>
      </c>
      <c r="AG192">
        <v>220</v>
      </c>
      <c r="AH192">
        <v>200</v>
      </c>
      <c r="AI192">
        <v>220</v>
      </c>
      <c r="AJ192">
        <v>240</v>
      </c>
      <c r="AK192">
        <v>2295</v>
      </c>
    </row>
    <row r="193" spans="1:37" hidden="1" x14ac:dyDescent="0.35">
      <c r="A193" t="s">
        <v>2</v>
      </c>
      <c r="B193" t="s">
        <v>251</v>
      </c>
      <c r="C193" s="23" t="s">
        <v>263</v>
      </c>
      <c r="E193" s="22">
        <v>5</v>
      </c>
      <c r="G193" t="s">
        <v>264</v>
      </c>
      <c r="H193" t="s">
        <v>265</v>
      </c>
      <c r="I193" t="s">
        <v>30</v>
      </c>
      <c r="L193" s="2">
        <v>-128828.91858</v>
      </c>
      <c r="M193" s="2">
        <v>5673092.88466</v>
      </c>
      <c r="N193" t="s">
        <v>80</v>
      </c>
      <c r="O193" s="24">
        <v>3035</v>
      </c>
      <c r="P193">
        <v>2</v>
      </c>
      <c r="Q193">
        <v>2.4900000000000002</v>
      </c>
      <c r="R193">
        <v>3.1</v>
      </c>
      <c r="AE193">
        <v>200</v>
      </c>
      <c r="AF193">
        <v>216</v>
      </c>
      <c r="AG193">
        <v>230</v>
      </c>
      <c r="AH193">
        <v>216</v>
      </c>
      <c r="AI193">
        <v>230</v>
      </c>
      <c r="AJ193">
        <v>245</v>
      </c>
      <c r="AK193">
        <v>1800</v>
      </c>
    </row>
    <row r="194" spans="1:37" hidden="1" x14ac:dyDescent="0.35">
      <c r="A194" t="s">
        <v>2</v>
      </c>
      <c r="B194" t="s">
        <v>251</v>
      </c>
      <c r="C194" s="23" t="s">
        <v>266</v>
      </c>
      <c r="E194" s="22">
        <v>5</v>
      </c>
      <c r="G194" t="s">
        <v>267</v>
      </c>
      <c r="H194" t="s">
        <v>268</v>
      </c>
      <c r="I194" t="s">
        <v>30</v>
      </c>
      <c r="L194" s="2">
        <v>-176919.11254500001</v>
      </c>
      <c r="M194" s="2">
        <v>5700692.4351500003</v>
      </c>
      <c r="N194" t="s">
        <v>80</v>
      </c>
      <c r="O194" s="24">
        <v>3035</v>
      </c>
      <c r="P194">
        <v>6.0999999999999999E-2</v>
      </c>
      <c r="Q194">
        <v>0.1</v>
      </c>
      <c r="R194">
        <v>0.12</v>
      </c>
      <c r="AE194">
        <v>110</v>
      </c>
      <c r="AF194">
        <v>120</v>
      </c>
      <c r="AG194">
        <v>130</v>
      </c>
      <c r="AH194">
        <v>120</v>
      </c>
      <c r="AI194">
        <v>130</v>
      </c>
      <c r="AJ194">
        <v>140</v>
      </c>
      <c r="AK194">
        <v>1000</v>
      </c>
    </row>
    <row r="195" spans="1:37" hidden="1" x14ac:dyDescent="0.35">
      <c r="A195" t="s">
        <v>2</v>
      </c>
      <c r="B195" t="s">
        <v>251</v>
      </c>
      <c r="C195" s="23" t="s">
        <v>269</v>
      </c>
      <c r="E195" s="22">
        <v>5</v>
      </c>
      <c r="G195" t="s">
        <v>270</v>
      </c>
      <c r="H195" t="s">
        <v>271</v>
      </c>
      <c r="I195" t="s">
        <v>30</v>
      </c>
      <c r="L195" s="2">
        <v>-195076.64984200001</v>
      </c>
      <c r="M195" s="2">
        <v>5649104.5889600003</v>
      </c>
      <c r="N195" t="s">
        <v>80</v>
      </c>
      <c r="O195" s="24">
        <v>3035</v>
      </c>
      <c r="P195">
        <v>3.1</v>
      </c>
      <c r="Q195">
        <v>3.51</v>
      </c>
      <c r="R195">
        <v>4.2</v>
      </c>
      <c r="AE195">
        <v>185</v>
      </c>
      <c r="AF195">
        <v>192</v>
      </c>
      <c r="AG195">
        <v>198</v>
      </c>
      <c r="AH195">
        <v>195</v>
      </c>
      <c r="AI195">
        <v>198</v>
      </c>
      <c r="AJ195">
        <v>203</v>
      </c>
      <c r="AK195">
        <v>1611</v>
      </c>
    </row>
    <row r="196" spans="1:37" hidden="1" x14ac:dyDescent="0.35">
      <c r="A196" t="s">
        <v>2</v>
      </c>
      <c r="B196" t="s">
        <v>251</v>
      </c>
      <c r="C196" s="23" t="s">
        <v>272</v>
      </c>
      <c r="E196" s="22">
        <v>5</v>
      </c>
      <c r="G196" t="s">
        <v>273</v>
      </c>
      <c r="H196" t="s">
        <v>274</v>
      </c>
      <c r="I196" t="s">
        <v>30</v>
      </c>
      <c r="L196" s="2">
        <v>-178267.24131400001</v>
      </c>
      <c r="M196" s="2">
        <v>5679714.1833499996</v>
      </c>
      <c r="N196" t="s">
        <v>80</v>
      </c>
      <c r="O196" s="24">
        <v>3035</v>
      </c>
      <c r="P196">
        <v>0.05</v>
      </c>
      <c r="Q196">
        <v>7.8E-2</v>
      </c>
      <c r="R196">
        <v>0.12</v>
      </c>
      <c r="AE196">
        <v>150</v>
      </c>
      <c r="AF196">
        <v>172</v>
      </c>
      <c r="AG196">
        <v>192</v>
      </c>
      <c r="AH196">
        <v>172</v>
      </c>
      <c r="AI196">
        <v>192</v>
      </c>
      <c r="AJ196">
        <v>200</v>
      </c>
      <c r="AK196">
        <v>1430</v>
      </c>
    </row>
    <row r="197" spans="1:37" hidden="1" x14ac:dyDescent="0.35">
      <c r="A197" t="s">
        <v>2</v>
      </c>
      <c r="B197" t="s">
        <v>251</v>
      </c>
      <c r="C197" s="23" t="s">
        <v>275</v>
      </c>
      <c r="E197" s="22">
        <v>5</v>
      </c>
      <c r="G197" t="s">
        <v>276</v>
      </c>
      <c r="H197" t="s">
        <v>29</v>
      </c>
      <c r="I197" t="s">
        <v>30</v>
      </c>
      <c r="L197" s="2">
        <v>-165858.368342</v>
      </c>
      <c r="M197" s="2">
        <v>5701193.53364</v>
      </c>
      <c r="N197" t="s">
        <v>80</v>
      </c>
      <c r="O197" s="24">
        <v>3035</v>
      </c>
      <c r="P197">
        <v>0.2</v>
      </c>
      <c r="Q197">
        <v>0.22900000000000001</v>
      </c>
      <c r="R197">
        <v>0.5</v>
      </c>
      <c r="AE197">
        <v>110</v>
      </c>
      <c r="AF197">
        <v>120</v>
      </c>
      <c r="AG197">
        <v>130</v>
      </c>
      <c r="AH197">
        <v>120</v>
      </c>
      <c r="AI197">
        <v>130</v>
      </c>
      <c r="AJ197">
        <v>140</v>
      </c>
      <c r="AK197">
        <v>1000</v>
      </c>
    </row>
    <row r="198" spans="1:37" hidden="1" x14ac:dyDescent="0.35">
      <c r="A198" t="s">
        <v>2</v>
      </c>
      <c r="B198" t="s">
        <v>251</v>
      </c>
      <c r="C198" s="23" t="s">
        <v>277</v>
      </c>
      <c r="E198" s="22">
        <v>5</v>
      </c>
      <c r="G198" t="s">
        <v>278</v>
      </c>
      <c r="H198" t="s">
        <v>29</v>
      </c>
      <c r="I198" t="s">
        <v>30</v>
      </c>
      <c r="L198" s="2">
        <v>-169758.16584999999</v>
      </c>
      <c r="M198" s="2">
        <v>5691987.51559</v>
      </c>
      <c r="N198" t="s">
        <v>80</v>
      </c>
      <c r="O198" s="24">
        <v>3035</v>
      </c>
      <c r="P198">
        <v>0.3</v>
      </c>
      <c r="Q198">
        <v>0.39</v>
      </c>
      <c r="R198">
        <v>0.5</v>
      </c>
      <c r="AE198">
        <v>320</v>
      </c>
      <c r="AF198">
        <v>324</v>
      </c>
      <c r="AG198">
        <v>330</v>
      </c>
      <c r="AH198">
        <v>324</v>
      </c>
      <c r="AI198">
        <v>330</v>
      </c>
      <c r="AJ198">
        <v>335</v>
      </c>
      <c r="AK198">
        <v>2700</v>
      </c>
    </row>
    <row r="199" spans="1:37" hidden="1" x14ac:dyDescent="0.35">
      <c r="A199" t="s">
        <v>2</v>
      </c>
      <c r="B199" t="s">
        <v>251</v>
      </c>
      <c r="C199" s="23" t="s">
        <v>279</v>
      </c>
      <c r="E199" s="22">
        <v>5</v>
      </c>
      <c r="G199" t="s">
        <v>280</v>
      </c>
      <c r="H199" t="s">
        <v>29</v>
      </c>
      <c r="I199" t="s">
        <v>30</v>
      </c>
      <c r="L199" s="2">
        <v>-164139.967317</v>
      </c>
      <c r="M199" s="2">
        <v>5690435.0271399999</v>
      </c>
      <c r="N199" t="s">
        <v>80</v>
      </c>
      <c r="O199" s="24">
        <v>3035</v>
      </c>
      <c r="P199">
        <v>0.15</v>
      </c>
      <c r="Q199">
        <v>0.191</v>
      </c>
      <c r="R199">
        <v>0.25</v>
      </c>
      <c r="AE199">
        <v>110</v>
      </c>
      <c r="AF199">
        <v>120</v>
      </c>
      <c r="AG199">
        <v>130</v>
      </c>
      <c r="AH199">
        <v>120</v>
      </c>
      <c r="AI199">
        <v>130</v>
      </c>
      <c r="AJ199">
        <v>140</v>
      </c>
      <c r="AK199">
        <v>1000</v>
      </c>
    </row>
    <row r="200" spans="1:37" hidden="1" x14ac:dyDescent="0.35">
      <c r="A200" t="s">
        <v>2</v>
      </c>
      <c r="B200" t="s">
        <v>251</v>
      </c>
      <c r="C200" s="23" t="s">
        <v>281</v>
      </c>
      <c r="E200" s="22">
        <v>5</v>
      </c>
      <c r="G200" t="s">
        <v>282</v>
      </c>
      <c r="H200" t="s">
        <v>29</v>
      </c>
      <c r="I200" t="s">
        <v>30</v>
      </c>
      <c r="L200" s="2">
        <v>-159910.605649</v>
      </c>
      <c r="M200" s="2">
        <v>5697299.4848699998</v>
      </c>
      <c r="N200" t="s">
        <v>80</v>
      </c>
      <c r="O200" s="24">
        <v>3035</v>
      </c>
      <c r="P200">
        <v>0.31</v>
      </c>
      <c r="Q200">
        <v>0.36799999999999999</v>
      </c>
      <c r="R200">
        <v>0.4</v>
      </c>
      <c r="AE200">
        <v>110</v>
      </c>
      <c r="AF200">
        <v>120</v>
      </c>
      <c r="AG200">
        <v>130</v>
      </c>
      <c r="AH200">
        <v>120</v>
      </c>
      <c r="AI200">
        <v>130</v>
      </c>
      <c r="AJ200">
        <v>140</v>
      </c>
      <c r="AK200">
        <v>1000</v>
      </c>
    </row>
    <row r="201" spans="1:37" hidden="1" x14ac:dyDescent="0.35">
      <c r="A201" t="s">
        <v>2</v>
      </c>
      <c r="B201" t="s">
        <v>251</v>
      </c>
      <c r="C201" s="23" t="s">
        <v>283</v>
      </c>
      <c r="E201" s="22">
        <v>5</v>
      </c>
      <c r="G201" t="s">
        <v>284</v>
      </c>
      <c r="H201" t="s">
        <v>285</v>
      </c>
      <c r="I201" t="s">
        <v>30</v>
      </c>
      <c r="L201" s="2">
        <v>131949.026751</v>
      </c>
      <c r="M201" s="2">
        <v>5718367.1605399996</v>
      </c>
      <c r="N201" t="s">
        <v>80</v>
      </c>
      <c r="O201" s="24">
        <v>3035</v>
      </c>
      <c r="P201">
        <v>4</v>
      </c>
      <c r="Q201">
        <v>5.3</v>
      </c>
      <c r="R201">
        <v>6.1</v>
      </c>
      <c r="AE201">
        <v>115</v>
      </c>
      <c r="AF201">
        <v>120</v>
      </c>
      <c r="AG201">
        <v>125</v>
      </c>
      <c r="AH201">
        <v>120</v>
      </c>
      <c r="AI201">
        <v>125</v>
      </c>
      <c r="AJ201">
        <v>130</v>
      </c>
      <c r="AK201">
        <v>1000</v>
      </c>
    </row>
    <row r="202" spans="1:37" hidden="1" x14ac:dyDescent="0.35">
      <c r="A202" t="s">
        <v>2</v>
      </c>
      <c r="B202" t="s">
        <v>251</v>
      </c>
      <c r="C202" s="23" t="s">
        <v>286</v>
      </c>
      <c r="E202" s="22">
        <v>5</v>
      </c>
      <c r="G202" t="s">
        <v>287</v>
      </c>
      <c r="H202" t="s">
        <v>288</v>
      </c>
      <c r="I202" t="s">
        <v>30</v>
      </c>
      <c r="L202" s="2">
        <v>118226.181554</v>
      </c>
      <c r="M202" s="2">
        <v>5725330.3892200002</v>
      </c>
      <c r="N202" t="s">
        <v>80</v>
      </c>
      <c r="O202" s="24">
        <v>3035</v>
      </c>
      <c r="P202">
        <v>0.5</v>
      </c>
      <c r="Q202">
        <v>0.78100000000000003</v>
      </c>
      <c r="R202">
        <v>1</v>
      </c>
      <c r="AE202">
        <v>110</v>
      </c>
      <c r="AF202">
        <v>120</v>
      </c>
      <c r="AG202">
        <v>132</v>
      </c>
      <c r="AH202">
        <v>120</v>
      </c>
      <c r="AI202">
        <v>132</v>
      </c>
      <c r="AJ202">
        <v>140</v>
      </c>
      <c r="AK202">
        <v>1000</v>
      </c>
    </row>
    <row r="203" spans="1:37" hidden="1" x14ac:dyDescent="0.35">
      <c r="A203" t="s">
        <v>2</v>
      </c>
      <c r="B203" t="s">
        <v>251</v>
      </c>
      <c r="C203" s="23" t="s">
        <v>289</v>
      </c>
      <c r="E203" s="22">
        <v>5</v>
      </c>
      <c r="F203" s="23">
        <v>4</v>
      </c>
      <c r="G203" t="s">
        <v>290</v>
      </c>
      <c r="H203" t="s">
        <v>291</v>
      </c>
      <c r="I203" t="s">
        <v>30</v>
      </c>
      <c r="L203" s="2">
        <v>150240.40494400001</v>
      </c>
      <c r="M203" s="2">
        <v>150240.40494400001</v>
      </c>
      <c r="N203" t="s">
        <v>80</v>
      </c>
      <c r="O203" s="24">
        <v>3035</v>
      </c>
      <c r="P203">
        <v>3.5</v>
      </c>
      <c r="Q203">
        <v>4.2</v>
      </c>
      <c r="R203">
        <v>5</v>
      </c>
      <c r="AE203">
        <v>230</v>
      </c>
      <c r="AF203">
        <v>234</v>
      </c>
      <c r="AG203">
        <v>239</v>
      </c>
      <c r="AH203">
        <v>234</v>
      </c>
      <c r="AI203">
        <v>239</v>
      </c>
      <c r="AJ203">
        <v>245</v>
      </c>
      <c r="AK203">
        <v>1805</v>
      </c>
    </row>
    <row r="204" spans="1:37" hidden="1" x14ac:dyDescent="0.35">
      <c r="A204" t="s">
        <v>2</v>
      </c>
      <c r="B204" t="s">
        <v>251</v>
      </c>
      <c r="C204" s="23" t="s">
        <v>292</v>
      </c>
      <c r="E204" s="22">
        <v>5</v>
      </c>
      <c r="G204" t="s">
        <v>293</v>
      </c>
      <c r="H204" t="s">
        <v>285</v>
      </c>
      <c r="I204" t="s">
        <v>30</v>
      </c>
      <c r="L204" s="2">
        <v>126040.667577</v>
      </c>
      <c r="M204" s="2">
        <v>5727052.6282000002</v>
      </c>
      <c r="N204" t="s">
        <v>80</v>
      </c>
      <c r="O204" s="24">
        <v>3035</v>
      </c>
      <c r="P204">
        <v>0.8</v>
      </c>
      <c r="Q204">
        <v>1.06</v>
      </c>
      <c r="R204">
        <v>1.3</v>
      </c>
      <c r="AE204">
        <v>115</v>
      </c>
      <c r="AF204">
        <v>120</v>
      </c>
      <c r="AG204">
        <v>125</v>
      </c>
      <c r="AH204">
        <v>120</v>
      </c>
      <c r="AI204">
        <v>125</v>
      </c>
      <c r="AJ204">
        <v>130</v>
      </c>
      <c r="AK204">
        <v>1000</v>
      </c>
    </row>
    <row r="205" spans="1:37" hidden="1" x14ac:dyDescent="0.35">
      <c r="A205" t="s">
        <v>2</v>
      </c>
      <c r="B205" t="s">
        <v>251</v>
      </c>
      <c r="C205" s="23" t="s">
        <v>294</v>
      </c>
      <c r="E205" s="22">
        <v>5</v>
      </c>
      <c r="F205" s="23">
        <v>4</v>
      </c>
      <c r="G205" t="s">
        <v>295</v>
      </c>
      <c r="H205" t="s">
        <v>296</v>
      </c>
      <c r="I205" t="s">
        <v>30</v>
      </c>
      <c r="L205" s="2">
        <v>144164.01351399999</v>
      </c>
      <c r="M205" s="2">
        <v>5714728.0795799997</v>
      </c>
      <c r="N205" t="s">
        <v>80</v>
      </c>
      <c r="O205" s="24">
        <v>3035</v>
      </c>
      <c r="P205">
        <v>10</v>
      </c>
      <c r="Q205">
        <v>15.2</v>
      </c>
      <c r="R205">
        <v>20</v>
      </c>
      <c r="AE205">
        <v>330</v>
      </c>
      <c r="AF205">
        <v>336</v>
      </c>
      <c r="AG205">
        <v>341</v>
      </c>
      <c r="AH205">
        <v>336</v>
      </c>
      <c r="AI205">
        <v>341</v>
      </c>
      <c r="AJ205">
        <v>346</v>
      </c>
      <c r="AK205">
        <v>1900</v>
      </c>
    </row>
    <row r="206" spans="1:37" hidden="1" x14ac:dyDescent="0.35">
      <c r="A206" t="s">
        <v>2</v>
      </c>
      <c r="B206" t="s">
        <v>251</v>
      </c>
      <c r="C206" s="23" t="s">
        <v>297</v>
      </c>
      <c r="E206" s="22">
        <v>5</v>
      </c>
      <c r="F206" s="23">
        <v>4</v>
      </c>
      <c r="G206" t="s">
        <v>298</v>
      </c>
      <c r="H206" t="s">
        <v>299</v>
      </c>
      <c r="I206" t="s">
        <v>30</v>
      </c>
      <c r="L206" s="2">
        <v>145195.23681100001</v>
      </c>
      <c r="M206" s="2">
        <v>5711178.1255200002</v>
      </c>
      <c r="N206" t="s">
        <v>80</v>
      </c>
      <c r="O206" s="24">
        <v>3035</v>
      </c>
      <c r="P206">
        <v>11</v>
      </c>
      <c r="Q206">
        <v>14.5</v>
      </c>
      <c r="R206">
        <v>18</v>
      </c>
      <c r="AE206">
        <v>300</v>
      </c>
      <c r="AF206">
        <v>325</v>
      </c>
      <c r="AG206">
        <v>380</v>
      </c>
      <c r="AH206">
        <v>380</v>
      </c>
      <c r="AI206">
        <v>385</v>
      </c>
      <c r="AJ206">
        <v>395</v>
      </c>
      <c r="AK206">
        <v>3000</v>
      </c>
    </row>
    <row r="207" spans="1:37" hidden="1" x14ac:dyDescent="0.35">
      <c r="A207" t="s">
        <v>2</v>
      </c>
      <c r="B207" t="s">
        <v>251</v>
      </c>
      <c r="C207" s="23" t="s">
        <v>300</v>
      </c>
      <c r="E207" s="22">
        <v>5</v>
      </c>
      <c r="G207" t="s">
        <v>301</v>
      </c>
      <c r="H207" t="s">
        <v>302</v>
      </c>
      <c r="I207" t="s">
        <v>30</v>
      </c>
      <c r="L207" s="2">
        <v>123014.481335</v>
      </c>
      <c r="M207" s="2">
        <v>5709836.4663899997</v>
      </c>
      <c r="N207" t="s">
        <v>80</v>
      </c>
      <c r="O207" s="24">
        <v>3035</v>
      </c>
      <c r="P207">
        <v>0.8</v>
      </c>
      <c r="Q207">
        <v>1.1200000000000001</v>
      </c>
      <c r="R207">
        <v>1.5</v>
      </c>
      <c r="AE207">
        <v>220</v>
      </c>
      <c r="AF207">
        <v>228</v>
      </c>
      <c r="AG207">
        <v>234</v>
      </c>
      <c r="AH207">
        <v>260</v>
      </c>
      <c r="AI207">
        <v>273</v>
      </c>
      <c r="AJ207">
        <v>285</v>
      </c>
      <c r="AK207">
        <v>2300</v>
      </c>
    </row>
    <row r="208" spans="1:37" hidden="1" x14ac:dyDescent="0.35">
      <c r="A208" t="s">
        <v>2</v>
      </c>
      <c r="B208" t="s">
        <v>251</v>
      </c>
      <c r="C208" s="23" t="s">
        <v>303</v>
      </c>
      <c r="E208" s="22">
        <v>5</v>
      </c>
      <c r="G208" t="s">
        <v>304</v>
      </c>
      <c r="H208" t="s">
        <v>305</v>
      </c>
      <c r="I208" t="s">
        <v>30</v>
      </c>
      <c r="L208" s="2">
        <v>129105.266108</v>
      </c>
      <c r="M208" s="2">
        <v>5723195.8407399999</v>
      </c>
      <c r="N208" t="s">
        <v>80</v>
      </c>
      <c r="O208" s="24">
        <v>3035</v>
      </c>
      <c r="P208">
        <v>3.5</v>
      </c>
      <c r="Q208">
        <v>4.5999999999999996</v>
      </c>
      <c r="R208">
        <v>5.7</v>
      </c>
      <c r="AE208">
        <v>110</v>
      </c>
      <c r="AF208">
        <v>120</v>
      </c>
      <c r="AG208">
        <v>144</v>
      </c>
      <c r="AH208">
        <v>120</v>
      </c>
      <c r="AI208">
        <v>144</v>
      </c>
      <c r="AJ208">
        <v>160</v>
      </c>
      <c r="AK208">
        <v>1200</v>
      </c>
    </row>
    <row r="209" spans="1:37" hidden="1" x14ac:dyDescent="0.35">
      <c r="A209" t="s">
        <v>2</v>
      </c>
      <c r="B209" t="s">
        <v>251</v>
      </c>
      <c r="C209" s="23" t="s">
        <v>306</v>
      </c>
      <c r="E209" s="22">
        <v>5</v>
      </c>
      <c r="G209" t="s">
        <v>307</v>
      </c>
      <c r="H209" t="s">
        <v>285</v>
      </c>
      <c r="I209" t="s">
        <v>30</v>
      </c>
      <c r="L209" s="2">
        <v>118226.181554</v>
      </c>
      <c r="M209" s="2">
        <v>5725330.3892200002</v>
      </c>
      <c r="N209" t="s">
        <v>80</v>
      </c>
      <c r="O209" s="24">
        <v>3035</v>
      </c>
      <c r="P209">
        <v>2.5499999999999998</v>
      </c>
      <c r="Q209">
        <v>3.16</v>
      </c>
      <c r="R209">
        <v>3.78</v>
      </c>
      <c r="AE209">
        <v>80</v>
      </c>
      <c r="AF209">
        <v>100</v>
      </c>
      <c r="AG209">
        <v>120</v>
      </c>
      <c r="AH209">
        <v>100</v>
      </c>
      <c r="AI209">
        <v>120</v>
      </c>
      <c r="AJ209">
        <v>130</v>
      </c>
      <c r="AK209">
        <v>1000</v>
      </c>
    </row>
    <row r="210" spans="1:37" hidden="1" x14ac:dyDescent="0.35">
      <c r="A210" t="s">
        <v>2</v>
      </c>
      <c r="B210" t="s">
        <v>251</v>
      </c>
      <c r="C210" s="23" t="s">
        <v>308</v>
      </c>
      <c r="E210" s="22">
        <v>5</v>
      </c>
      <c r="G210" t="s">
        <v>309</v>
      </c>
      <c r="H210" t="s">
        <v>310</v>
      </c>
      <c r="I210" t="s">
        <v>30</v>
      </c>
      <c r="L210" s="2">
        <v>-208585.71251000001</v>
      </c>
      <c r="M210" s="2">
        <v>5711782.5538100004</v>
      </c>
      <c r="N210" t="s">
        <v>80</v>
      </c>
      <c r="O210" s="24">
        <v>3035</v>
      </c>
      <c r="P210">
        <v>10</v>
      </c>
      <c r="Q210">
        <v>12.6</v>
      </c>
      <c r="R210">
        <v>13.6</v>
      </c>
      <c r="AE210">
        <v>90</v>
      </c>
      <c r="AF210">
        <v>100</v>
      </c>
      <c r="AG210">
        <v>112</v>
      </c>
      <c r="AH210">
        <v>100</v>
      </c>
      <c r="AI210">
        <v>120</v>
      </c>
      <c r="AJ210">
        <v>125</v>
      </c>
      <c r="AK210">
        <v>1000</v>
      </c>
    </row>
    <row r="211" spans="1:37" hidden="1" x14ac:dyDescent="0.35">
      <c r="A211" t="s">
        <v>2</v>
      </c>
      <c r="B211" t="s">
        <v>251</v>
      </c>
      <c r="C211" s="23" t="s">
        <v>311</v>
      </c>
      <c r="E211" s="22">
        <v>5</v>
      </c>
      <c r="F211" s="23">
        <v>4</v>
      </c>
      <c r="G211" t="s">
        <v>312</v>
      </c>
      <c r="H211" t="s">
        <v>313</v>
      </c>
      <c r="I211" t="s">
        <v>30</v>
      </c>
      <c r="L211" s="2">
        <v>-220762.06784999999</v>
      </c>
      <c r="M211" s="2">
        <v>5695969.8454499999</v>
      </c>
      <c r="N211" t="s">
        <v>80</v>
      </c>
      <c r="O211" s="24">
        <v>3035</v>
      </c>
      <c r="P211">
        <v>4.5</v>
      </c>
      <c r="Q211">
        <v>5.9</v>
      </c>
      <c r="R211">
        <v>6.5</v>
      </c>
      <c r="AE211">
        <v>80</v>
      </c>
      <c r="AF211">
        <v>100</v>
      </c>
      <c r="AG211">
        <v>120</v>
      </c>
      <c r="AH211">
        <v>100</v>
      </c>
      <c r="AI211">
        <v>120</v>
      </c>
      <c r="AJ211">
        <v>140</v>
      </c>
      <c r="AK211">
        <v>1000</v>
      </c>
    </row>
    <row r="212" spans="1:37" hidden="1" x14ac:dyDescent="0.35">
      <c r="A212" t="s">
        <v>2</v>
      </c>
      <c r="B212" t="s">
        <v>251</v>
      </c>
      <c r="C212" s="23" t="s">
        <v>314</v>
      </c>
      <c r="E212" s="22">
        <v>5</v>
      </c>
      <c r="F212" s="23">
        <v>4</v>
      </c>
      <c r="G212" t="s">
        <v>315</v>
      </c>
      <c r="H212" t="s">
        <v>316</v>
      </c>
      <c r="I212" t="s">
        <v>30</v>
      </c>
      <c r="L212" s="2">
        <v>-207346.371453</v>
      </c>
      <c r="M212" s="2">
        <v>5724123.2877799999</v>
      </c>
      <c r="N212" t="s">
        <v>80</v>
      </c>
      <c r="O212" s="24">
        <v>3035</v>
      </c>
      <c r="P212">
        <v>0.4</v>
      </c>
      <c r="Q212">
        <v>0.46300000000000002</v>
      </c>
      <c r="R212">
        <v>0.55000000000000004</v>
      </c>
      <c r="AE212">
        <v>90</v>
      </c>
      <c r="AF212">
        <v>100</v>
      </c>
      <c r="AG212">
        <v>120</v>
      </c>
      <c r="AH212">
        <v>100</v>
      </c>
      <c r="AI212">
        <v>120</v>
      </c>
      <c r="AJ212">
        <v>140</v>
      </c>
      <c r="AK212">
        <v>1000</v>
      </c>
    </row>
    <row r="213" spans="1:37" hidden="1" x14ac:dyDescent="0.35">
      <c r="A213" t="s">
        <v>2</v>
      </c>
      <c r="B213" t="s">
        <v>251</v>
      </c>
      <c r="C213" s="23" t="s">
        <v>317</v>
      </c>
      <c r="E213" s="22">
        <v>5</v>
      </c>
      <c r="F213" s="23">
        <v>4</v>
      </c>
      <c r="G213" t="s">
        <v>318</v>
      </c>
      <c r="H213" t="s">
        <v>319</v>
      </c>
      <c r="I213" t="s">
        <v>30</v>
      </c>
      <c r="L213" s="2">
        <v>-208945.95366299999</v>
      </c>
      <c r="M213" s="2">
        <v>5724388.5345000001</v>
      </c>
      <c r="N213" t="s">
        <v>80</v>
      </c>
      <c r="O213" s="24">
        <v>3035</v>
      </c>
      <c r="P213">
        <v>0.2</v>
      </c>
      <c r="Q213">
        <v>0.3</v>
      </c>
      <c r="R213">
        <v>0.4</v>
      </c>
      <c r="AE213">
        <v>80</v>
      </c>
      <c r="AF213">
        <v>100</v>
      </c>
      <c r="AG213">
        <v>120</v>
      </c>
      <c r="AH213">
        <v>100</v>
      </c>
      <c r="AI213">
        <v>120</v>
      </c>
      <c r="AJ213">
        <v>140</v>
      </c>
      <c r="AK213">
        <v>1000</v>
      </c>
    </row>
    <row r="214" spans="1:37" hidden="1" x14ac:dyDescent="0.35">
      <c r="A214" t="s">
        <v>2</v>
      </c>
      <c r="B214" t="s">
        <v>251</v>
      </c>
      <c r="C214" s="23" t="s">
        <v>320</v>
      </c>
      <c r="E214" s="22">
        <v>5</v>
      </c>
      <c r="F214" s="23">
        <v>4</v>
      </c>
      <c r="G214" t="s">
        <v>321</v>
      </c>
      <c r="H214" t="s">
        <v>322</v>
      </c>
      <c r="I214" t="s">
        <v>30</v>
      </c>
      <c r="L214" s="2">
        <v>-221636.51264999999</v>
      </c>
      <c r="M214" s="2">
        <v>5692424.6611900004</v>
      </c>
      <c r="N214" t="s">
        <v>80</v>
      </c>
      <c r="O214" s="24">
        <v>3035</v>
      </c>
      <c r="P214">
        <v>1.5</v>
      </c>
      <c r="Q214">
        <v>1.8</v>
      </c>
      <c r="R214">
        <v>2.2000000000000002</v>
      </c>
      <c r="AE214">
        <v>90</v>
      </c>
      <c r="AF214">
        <v>100</v>
      </c>
      <c r="AG214">
        <v>120</v>
      </c>
      <c r="AH214">
        <v>100</v>
      </c>
      <c r="AI214">
        <v>120</v>
      </c>
      <c r="AJ214">
        <v>130</v>
      </c>
      <c r="AK214">
        <v>1000</v>
      </c>
    </row>
    <row r="215" spans="1:37" hidden="1" x14ac:dyDescent="0.35">
      <c r="A215" t="s">
        <v>2</v>
      </c>
      <c r="B215" t="s">
        <v>251</v>
      </c>
      <c r="C215" s="23" t="s">
        <v>323</v>
      </c>
      <c r="E215" s="22">
        <v>5</v>
      </c>
      <c r="F215" s="23">
        <v>4</v>
      </c>
      <c r="G215" t="s">
        <v>324</v>
      </c>
      <c r="H215" t="s">
        <v>325</v>
      </c>
      <c r="I215" t="s">
        <v>30</v>
      </c>
      <c r="L215" s="2">
        <v>-218100.86183099999</v>
      </c>
      <c r="M215" s="2">
        <v>5688316.1151400004</v>
      </c>
      <c r="N215" t="s">
        <v>80</v>
      </c>
      <c r="O215" s="24">
        <v>3035</v>
      </c>
      <c r="P215">
        <v>0.5</v>
      </c>
      <c r="Q215">
        <v>0.69</v>
      </c>
      <c r="R215">
        <v>1.1000000000000001</v>
      </c>
      <c r="AE215">
        <v>90</v>
      </c>
      <c r="AF215">
        <v>100</v>
      </c>
      <c r="AG215">
        <v>120</v>
      </c>
      <c r="AH215">
        <v>100</v>
      </c>
      <c r="AI215">
        <v>120</v>
      </c>
      <c r="AJ215">
        <v>135</v>
      </c>
      <c r="AK215">
        <v>1000</v>
      </c>
    </row>
    <row r="216" spans="1:37" hidden="1" x14ac:dyDescent="0.35">
      <c r="A216" t="s">
        <v>2</v>
      </c>
      <c r="B216" t="s">
        <v>251</v>
      </c>
      <c r="C216" s="23" t="s">
        <v>326</v>
      </c>
      <c r="E216" s="22">
        <v>5</v>
      </c>
      <c r="F216" s="23">
        <v>4</v>
      </c>
      <c r="G216" t="s">
        <v>327</v>
      </c>
      <c r="H216" t="s">
        <v>328</v>
      </c>
      <c r="I216" t="s">
        <v>30</v>
      </c>
      <c r="L216" s="2">
        <v>-211760.10841700001</v>
      </c>
      <c r="M216" s="2">
        <v>5718287.4359999998</v>
      </c>
      <c r="N216" t="s">
        <v>80</v>
      </c>
      <c r="O216" s="24">
        <v>3035</v>
      </c>
      <c r="P216">
        <v>1.5</v>
      </c>
      <c r="Q216">
        <v>2</v>
      </c>
      <c r="R216">
        <v>2.5</v>
      </c>
      <c r="AE216">
        <v>130</v>
      </c>
      <c r="AF216">
        <v>150</v>
      </c>
      <c r="AG216">
        <v>180</v>
      </c>
      <c r="AH216">
        <v>150</v>
      </c>
      <c r="AI216">
        <v>180</v>
      </c>
      <c r="AJ216">
        <v>200</v>
      </c>
      <c r="AK216">
        <v>1500</v>
      </c>
    </row>
    <row r="217" spans="1:37" hidden="1" x14ac:dyDescent="0.35">
      <c r="A217" t="s">
        <v>2</v>
      </c>
      <c r="B217" t="s">
        <v>251</v>
      </c>
      <c r="C217" s="23" t="s">
        <v>329</v>
      </c>
      <c r="E217" s="22">
        <v>5</v>
      </c>
      <c r="F217" s="23">
        <v>4</v>
      </c>
      <c r="G217" t="s">
        <v>330</v>
      </c>
      <c r="H217" t="s">
        <v>331</v>
      </c>
      <c r="I217" t="s">
        <v>30</v>
      </c>
      <c r="L217" s="2">
        <v>-215803.57517299999</v>
      </c>
      <c r="M217" s="2">
        <v>5687475.4439000003</v>
      </c>
      <c r="N217" t="s">
        <v>80</v>
      </c>
      <c r="O217" s="24">
        <v>3035</v>
      </c>
      <c r="P217">
        <v>5</v>
      </c>
      <c r="Q217">
        <v>5.7</v>
      </c>
      <c r="R217">
        <v>6.8</v>
      </c>
      <c r="AE217">
        <v>95</v>
      </c>
      <c r="AF217">
        <v>100</v>
      </c>
      <c r="AG217">
        <v>110</v>
      </c>
      <c r="AH217">
        <v>100</v>
      </c>
      <c r="AI217">
        <v>110</v>
      </c>
      <c r="AJ217">
        <v>115</v>
      </c>
      <c r="AK217">
        <v>1000</v>
      </c>
    </row>
    <row r="218" spans="1:37" hidden="1" x14ac:dyDescent="0.35">
      <c r="A218" t="s">
        <v>2</v>
      </c>
      <c r="B218" t="s">
        <v>251</v>
      </c>
      <c r="C218" s="23" t="s">
        <v>332</v>
      </c>
      <c r="E218" s="22">
        <v>5</v>
      </c>
      <c r="F218" s="23">
        <v>4</v>
      </c>
      <c r="G218" t="s">
        <v>333</v>
      </c>
      <c r="H218" t="s">
        <v>313</v>
      </c>
      <c r="I218" t="s">
        <v>30</v>
      </c>
      <c r="L218" s="2">
        <v>-205032.21337099999</v>
      </c>
      <c r="M218" s="2">
        <v>5706441.27355</v>
      </c>
      <c r="N218" t="s">
        <v>80</v>
      </c>
      <c r="O218" s="24">
        <v>3035</v>
      </c>
      <c r="P218">
        <v>1.5</v>
      </c>
      <c r="Q218">
        <v>2.0499999999999998</v>
      </c>
      <c r="R218">
        <v>2.5</v>
      </c>
      <c r="AE218">
        <v>90</v>
      </c>
      <c r="AF218">
        <v>100</v>
      </c>
      <c r="AG218">
        <v>120</v>
      </c>
      <c r="AH218">
        <v>100</v>
      </c>
      <c r="AI218">
        <v>120</v>
      </c>
      <c r="AJ218">
        <v>130</v>
      </c>
      <c r="AK218">
        <v>1000</v>
      </c>
    </row>
    <row r="219" spans="1:37" hidden="1" x14ac:dyDescent="0.35">
      <c r="A219" t="s">
        <v>2</v>
      </c>
      <c r="B219" t="s">
        <v>251</v>
      </c>
      <c r="C219" s="23" t="s">
        <v>334</v>
      </c>
      <c r="E219" s="22">
        <v>5</v>
      </c>
      <c r="F219" s="23">
        <v>4</v>
      </c>
      <c r="G219" t="s">
        <v>335</v>
      </c>
      <c r="H219" t="s">
        <v>336</v>
      </c>
      <c r="I219" t="s">
        <v>30</v>
      </c>
      <c r="L219" s="2">
        <v>-221617.25120999999</v>
      </c>
      <c r="M219" s="2">
        <v>5683948.09772</v>
      </c>
      <c r="N219" t="s">
        <v>80</v>
      </c>
      <c r="O219" s="24">
        <v>3035</v>
      </c>
      <c r="P219">
        <v>11</v>
      </c>
      <c r="Q219">
        <v>13.2</v>
      </c>
      <c r="R219">
        <v>15.5</v>
      </c>
      <c r="AE219">
        <v>125</v>
      </c>
      <c r="AF219">
        <v>139</v>
      </c>
      <c r="AG219">
        <v>167</v>
      </c>
      <c r="AH219">
        <v>139</v>
      </c>
      <c r="AI219">
        <v>167</v>
      </c>
      <c r="AJ219">
        <v>175</v>
      </c>
      <c r="AK219">
        <v>1390</v>
      </c>
    </row>
    <row r="220" spans="1:37" hidden="1" x14ac:dyDescent="0.35">
      <c r="A220" t="s">
        <v>2</v>
      </c>
      <c r="B220" t="s">
        <v>251</v>
      </c>
      <c r="C220" s="23" t="s">
        <v>337</v>
      </c>
      <c r="E220" s="22">
        <v>5</v>
      </c>
      <c r="F220" s="23">
        <v>4</v>
      </c>
      <c r="G220" t="s">
        <v>338</v>
      </c>
      <c r="H220" t="s">
        <v>339</v>
      </c>
      <c r="I220" t="s">
        <v>30</v>
      </c>
      <c r="L220" s="2">
        <v>-205032.21337099999</v>
      </c>
      <c r="M220" s="2">
        <v>5706441.27355</v>
      </c>
      <c r="N220" t="s">
        <v>80</v>
      </c>
      <c r="O220" s="24">
        <v>3035</v>
      </c>
      <c r="P220">
        <v>0.9</v>
      </c>
      <c r="Q220">
        <v>1.3</v>
      </c>
      <c r="R220">
        <v>1.9</v>
      </c>
      <c r="AE220">
        <v>120</v>
      </c>
      <c r="AF220">
        <v>130</v>
      </c>
      <c r="AG220">
        <v>156</v>
      </c>
      <c r="AH220">
        <v>130</v>
      </c>
      <c r="AI220">
        <v>156</v>
      </c>
      <c r="AJ220">
        <v>170</v>
      </c>
      <c r="AK220">
        <v>1300</v>
      </c>
    </row>
    <row r="221" spans="1:37" hidden="1" x14ac:dyDescent="0.35">
      <c r="A221" t="s">
        <v>2</v>
      </c>
      <c r="B221" t="s">
        <v>251</v>
      </c>
      <c r="C221" s="23" t="s">
        <v>340</v>
      </c>
      <c r="E221" s="22">
        <v>5</v>
      </c>
      <c r="F221" s="23">
        <v>4</v>
      </c>
      <c r="G221" t="s">
        <v>341</v>
      </c>
      <c r="H221" t="s">
        <v>342</v>
      </c>
      <c r="I221" t="s">
        <v>30</v>
      </c>
      <c r="L221" s="2">
        <v>-211753.13292900001</v>
      </c>
      <c r="M221" s="2">
        <v>5704069.0280499998</v>
      </c>
      <c r="N221" t="s">
        <v>80</v>
      </c>
      <c r="O221" s="24">
        <v>3035</v>
      </c>
      <c r="P221">
        <v>15.5</v>
      </c>
      <c r="Q221">
        <v>18.8</v>
      </c>
      <c r="R221">
        <v>20.2</v>
      </c>
      <c r="AE221">
        <v>90</v>
      </c>
      <c r="AF221">
        <v>100</v>
      </c>
      <c r="AG221">
        <v>120</v>
      </c>
      <c r="AH221">
        <v>100</v>
      </c>
      <c r="AI221">
        <v>120</v>
      </c>
      <c r="AJ221">
        <v>130</v>
      </c>
      <c r="AK221">
        <v>1000</v>
      </c>
    </row>
    <row r="222" spans="1:37" hidden="1" x14ac:dyDescent="0.35">
      <c r="A222" t="s">
        <v>2</v>
      </c>
      <c r="B222" t="s">
        <v>251</v>
      </c>
      <c r="C222" s="23" t="s">
        <v>343</v>
      </c>
      <c r="E222" s="22">
        <v>5</v>
      </c>
      <c r="F222" s="23">
        <v>4</v>
      </c>
      <c r="G222" t="s">
        <v>344</v>
      </c>
      <c r="H222" t="s">
        <v>345</v>
      </c>
      <c r="I222" t="s">
        <v>30</v>
      </c>
      <c r="L222">
        <v>-211753.13292900001</v>
      </c>
      <c r="M222">
        <v>5704069.0280499998</v>
      </c>
      <c r="N222" t="s">
        <v>80</v>
      </c>
      <c r="O222" s="24">
        <v>3035</v>
      </c>
      <c r="P222">
        <v>0.03</v>
      </c>
      <c r="Q222">
        <v>4.2999999999999997E-2</v>
      </c>
      <c r="R222">
        <v>5.4999999999999997E-3</v>
      </c>
      <c r="AE222">
        <v>90</v>
      </c>
      <c r="AF222">
        <v>100</v>
      </c>
      <c r="AG222">
        <v>120</v>
      </c>
      <c r="AH222">
        <v>100</v>
      </c>
      <c r="AI222">
        <v>120</v>
      </c>
      <c r="AJ222">
        <v>140</v>
      </c>
      <c r="AK222">
        <v>1000</v>
      </c>
    </row>
    <row r="223" spans="1:37" hidden="1" x14ac:dyDescent="0.35"/>
    <row r="224" spans="1:37" hidden="1" x14ac:dyDescent="0.35"/>
    <row r="225" hidden="1" x14ac:dyDescent="0.35"/>
    <row r="226" hidden="1" x14ac:dyDescent="0.35"/>
    <row r="227" hidden="1" x14ac:dyDescent="0.35"/>
    <row r="228" hidden="1" x14ac:dyDescent="0.35"/>
    <row r="229" hidden="1" x14ac:dyDescent="0.35"/>
    <row r="230" hidden="1" x14ac:dyDescent="0.35"/>
    <row r="231" hidden="1" x14ac:dyDescent="0.35"/>
    <row r="232" hidden="1" x14ac:dyDescent="0.35"/>
    <row r="233" hidden="1" x14ac:dyDescent="0.35"/>
    <row r="234" hidden="1" x14ac:dyDescent="0.35"/>
    <row r="235" hidden="1" x14ac:dyDescent="0.35"/>
    <row r="236" hidden="1" x14ac:dyDescent="0.35"/>
    <row r="237" hidden="1" x14ac:dyDescent="0.35"/>
    <row r="238" hidden="1" x14ac:dyDescent="0.35"/>
    <row r="239" hidden="1" x14ac:dyDescent="0.35"/>
    <row r="240" hidden="1" x14ac:dyDescent="0.35"/>
    <row r="241" hidden="1" x14ac:dyDescent="0.35"/>
    <row r="242" hidden="1" x14ac:dyDescent="0.35"/>
    <row r="243" hidden="1" x14ac:dyDescent="0.35"/>
    <row r="244" hidden="1" x14ac:dyDescent="0.35"/>
    <row r="245" hidden="1" x14ac:dyDescent="0.35"/>
    <row r="246" hidden="1" x14ac:dyDescent="0.35"/>
    <row r="247" hidden="1" x14ac:dyDescent="0.35"/>
    <row r="248" hidden="1" x14ac:dyDescent="0.35"/>
    <row r="249" hidden="1" x14ac:dyDescent="0.35"/>
    <row r="250" hidden="1" x14ac:dyDescent="0.35"/>
    <row r="251" hidden="1" x14ac:dyDescent="0.35"/>
    <row r="252" hidden="1" x14ac:dyDescent="0.35"/>
    <row r="253" hidden="1" x14ac:dyDescent="0.35"/>
    <row r="254" hidden="1" x14ac:dyDescent="0.35"/>
    <row r="255" hidden="1" x14ac:dyDescent="0.35"/>
    <row r="256" hidden="1" x14ac:dyDescent="0.35"/>
    <row r="257" hidden="1" x14ac:dyDescent="0.35"/>
    <row r="258" hidden="1" x14ac:dyDescent="0.35"/>
    <row r="259" hidden="1" x14ac:dyDescent="0.35"/>
    <row r="260" hidden="1" x14ac:dyDescent="0.35"/>
    <row r="261" hidden="1" x14ac:dyDescent="0.35"/>
    <row r="262" hidden="1" x14ac:dyDescent="0.35"/>
    <row r="263" hidden="1" x14ac:dyDescent="0.35"/>
    <row r="264" hidden="1" x14ac:dyDescent="0.35"/>
    <row r="265" hidden="1" x14ac:dyDescent="0.35"/>
    <row r="266" hidden="1" x14ac:dyDescent="0.35"/>
    <row r="267" hidden="1" x14ac:dyDescent="0.35"/>
    <row r="268" hidden="1" x14ac:dyDescent="0.35"/>
    <row r="269" hidden="1" x14ac:dyDescent="0.35"/>
    <row r="270" hidden="1" x14ac:dyDescent="0.35"/>
    <row r="271" hidden="1" x14ac:dyDescent="0.35"/>
    <row r="272" hidden="1" x14ac:dyDescent="0.35"/>
    <row r="273" hidden="1" x14ac:dyDescent="0.35"/>
    <row r="274" hidden="1" x14ac:dyDescent="0.35"/>
    <row r="275" hidden="1" x14ac:dyDescent="0.35"/>
    <row r="276" hidden="1" x14ac:dyDescent="0.35"/>
    <row r="277" hidden="1" x14ac:dyDescent="0.35"/>
    <row r="278" hidden="1" x14ac:dyDescent="0.35"/>
    <row r="279" hidden="1" x14ac:dyDescent="0.35"/>
    <row r="280" hidden="1" x14ac:dyDescent="0.35"/>
    <row r="281" hidden="1" x14ac:dyDescent="0.35"/>
    <row r="282" hidden="1" x14ac:dyDescent="0.35"/>
    <row r="283" hidden="1" x14ac:dyDescent="0.35"/>
    <row r="284" hidden="1" x14ac:dyDescent="0.35"/>
    <row r="285" hidden="1" x14ac:dyDescent="0.35"/>
    <row r="286" hidden="1" x14ac:dyDescent="0.35"/>
    <row r="287" hidden="1" x14ac:dyDescent="0.35"/>
    <row r="288" hidden="1" x14ac:dyDescent="0.35"/>
    <row r="289" hidden="1" x14ac:dyDescent="0.35"/>
    <row r="290" hidden="1" x14ac:dyDescent="0.35"/>
    <row r="291" hidden="1" x14ac:dyDescent="0.35"/>
    <row r="292" hidden="1" x14ac:dyDescent="0.35"/>
    <row r="293" hidden="1" x14ac:dyDescent="0.35"/>
    <row r="294" hidden="1" x14ac:dyDescent="0.35"/>
    <row r="295" hidden="1" x14ac:dyDescent="0.35"/>
    <row r="296" hidden="1" x14ac:dyDescent="0.35"/>
    <row r="297" hidden="1" x14ac:dyDescent="0.35"/>
    <row r="298" hidden="1" x14ac:dyDescent="0.35"/>
    <row r="299" hidden="1" x14ac:dyDescent="0.35"/>
    <row r="300" hidden="1" x14ac:dyDescent="0.35"/>
    <row r="301" hidden="1" x14ac:dyDescent="0.35"/>
    <row r="302" hidden="1" x14ac:dyDescent="0.35"/>
    <row r="303" hidden="1" x14ac:dyDescent="0.35"/>
    <row r="304" hidden="1" x14ac:dyDescent="0.35"/>
    <row r="305" hidden="1" x14ac:dyDescent="0.35"/>
    <row r="306" hidden="1" x14ac:dyDescent="0.35"/>
    <row r="307" hidden="1" x14ac:dyDescent="0.35"/>
    <row r="308" hidden="1" x14ac:dyDescent="0.35"/>
    <row r="309" hidden="1" x14ac:dyDescent="0.35"/>
    <row r="310" hidden="1" x14ac:dyDescent="0.35"/>
    <row r="311" hidden="1" x14ac:dyDescent="0.35"/>
    <row r="312" hidden="1" x14ac:dyDescent="0.35"/>
    <row r="313" hidden="1" x14ac:dyDescent="0.35"/>
    <row r="314" hidden="1" x14ac:dyDescent="0.35"/>
    <row r="315" hidden="1" x14ac:dyDescent="0.35"/>
    <row r="316" hidden="1" x14ac:dyDescent="0.35"/>
    <row r="317" hidden="1" x14ac:dyDescent="0.35"/>
    <row r="318" hidden="1" x14ac:dyDescent="0.35"/>
    <row r="319" hidden="1" x14ac:dyDescent="0.35"/>
    <row r="320" hidden="1" x14ac:dyDescent="0.35"/>
    <row r="321" hidden="1" x14ac:dyDescent="0.35"/>
    <row r="322" hidden="1" x14ac:dyDescent="0.35"/>
    <row r="323" hidden="1" x14ac:dyDescent="0.35"/>
    <row r="324" hidden="1" x14ac:dyDescent="0.35"/>
    <row r="325" hidden="1" x14ac:dyDescent="0.35"/>
    <row r="326" hidden="1" x14ac:dyDescent="0.35"/>
    <row r="327" hidden="1" x14ac:dyDescent="0.35"/>
    <row r="328" hidden="1" x14ac:dyDescent="0.35"/>
    <row r="329" hidden="1" x14ac:dyDescent="0.35"/>
    <row r="330" hidden="1" x14ac:dyDescent="0.35"/>
    <row r="331" hidden="1" x14ac:dyDescent="0.35"/>
    <row r="332" hidden="1" x14ac:dyDescent="0.35"/>
    <row r="333" hidden="1" x14ac:dyDescent="0.35"/>
    <row r="334" hidden="1" x14ac:dyDescent="0.35"/>
    <row r="335" hidden="1" x14ac:dyDescent="0.35"/>
    <row r="336" hidden="1" x14ac:dyDescent="0.35"/>
    <row r="337" hidden="1" x14ac:dyDescent="0.35"/>
    <row r="338" hidden="1" x14ac:dyDescent="0.35"/>
    <row r="339" hidden="1" x14ac:dyDescent="0.35"/>
    <row r="340" hidden="1" x14ac:dyDescent="0.35"/>
    <row r="341" hidden="1" x14ac:dyDescent="0.35"/>
    <row r="342" hidden="1" x14ac:dyDescent="0.35"/>
    <row r="343" hidden="1" x14ac:dyDescent="0.35"/>
    <row r="344" hidden="1" x14ac:dyDescent="0.35"/>
    <row r="345" hidden="1" x14ac:dyDescent="0.35"/>
    <row r="346" hidden="1" x14ac:dyDescent="0.35"/>
    <row r="347" hidden="1" x14ac:dyDescent="0.35"/>
    <row r="348" hidden="1" x14ac:dyDescent="0.35"/>
    <row r="349" hidden="1" x14ac:dyDescent="0.35"/>
    <row r="350" hidden="1" x14ac:dyDescent="0.35"/>
    <row r="351" hidden="1" x14ac:dyDescent="0.35"/>
    <row r="352" hidden="1" x14ac:dyDescent="0.35"/>
    <row r="353" hidden="1" x14ac:dyDescent="0.35"/>
    <row r="354" hidden="1" x14ac:dyDescent="0.35"/>
    <row r="355" hidden="1" x14ac:dyDescent="0.35"/>
    <row r="356" hidden="1" x14ac:dyDescent="0.35"/>
    <row r="357" hidden="1" x14ac:dyDescent="0.35"/>
    <row r="358" hidden="1" x14ac:dyDescent="0.35"/>
    <row r="359" hidden="1" x14ac:dyDescent="0.35"/>
    <row r="360" hidden="1" x14ac:dyDescent="0.35"/>
    <row r="361" hidden="1" x14ac:dyDescent="0.35"/>
    <row r="362" hidden="1" x14ac:dyDescent="0.35"/>
    <row r="363" hidden="1" x14ac:dyDescent="0.35"/>
    <row r="364" hidden="1" x14ac:dyDescent="0.35"/>
    <row r="365" hidden="1" x14ac:dyDescent="0.35"/>
    <row r="366" hidden="1" x14ac:dyDescent="0.35"/>
    <row r="367" hidden="1" x14ac:dyDescent="0.35"/>
    <row r="368" hidden="1" x14ac:dyDescent="0.35"/>
    <row r="369" hidden="1" x14ac:dyDescent="0.35"/>
    <row r="370" hidden="1" x14ac:dyDescent="0.35"/>
    <row r="371" hidden="1" x14ac:dyDescent="0.35"/>
    <row r="372" hidden="1" x14ac:dyDescent="0.35"/>
    <row r="373" hidden="1" x14ac:dyDescent="0.35"/>
    <row r="374" hidden="1" x14ac:dyDescent="0.35"/>
    <row r="375" hidden="1" x14ac:dyDescent="0.35"/>
    <row r="376" hidden="1" x14ac:dyDescent="0.35"/>
    <row r="377" hidden="1" x14ac:dyDescent="0.35"/>
    <row r="378" hidden="1" x14ac:dyDescent="0.35"/>
    <row r="379" hidden="1" x14ac:dyDescent="0.35"/>
    <row r="380" hidden="1" x14ac:dyDescent="0.35"/>
    <row r="381" hidden="1" x14ac:dyDescent="0.35"/>
    <row r="382" hidden="1" x14ac:dyDescent="0.35"/>
    <row r="383" hidden="1" x14ac:dyDescent="0.35"/>
    <row r="384" hidden="1" x14ac:dyDescent="0.35"/>
    <row r="385" hidden="1" x14ac:dyDescent="0.35"/>
    <row r="386" hidden="1" x14ac:dyDescent="0.35"/>
    <row r="387" hidden="1" x14ac:dyDescent="0.35"/>
    <row r="388" hidden="1" x14ac:dyDescent="0.35"/>
    <row r="389" hidden="1" x14ac:dyDescent="0.35"/>
    <row r="390" hidden="1" x14ac:dyDescent="0.35"/>
    <row r="391" hidden="1" x14ac:dyDescent="0.35"/>
    <row r="392" hidden="1" x14ac:dyDescent="0.35"/>
    <row r="393" hidden="1" x14ac:dyDescent="0.35"/>
    <row r="394" hidden="1" x14ac:dyDescent="0.35"/>
    <row r="395" hidden="1" x14ac:dyDescent="0.35"/>
    <row r="396" hidden="1" x14ac:dyDescent="0.35"/>
    <row r="397" hidden="1" x14ac:dyDescent="0.35"/>
    <row r="398" hidden="1" x14ac:dyDescent="0.35"/>
    <row r="399" hidden="1" x14ac:dyDescent="0.35"/>
    <row r="400" hidden="1" x14ac:dyDescent="0.35"/>
    <row r="401" hidden="1" x14ac:dyDescent="0.35"/>
    <row r="402" hidden="1" x14ac:dyDescent="0.35"/>
    <row r="403" hidden="1" x14ac:dyDescent="0.35"/>
    <row r="404" hidden="1" x14ac:dyDescent="0.35"/>
    <row r="405" hidden="1" x14ac:dyDescent="0.35"/>
    <row r="406" hidden="1" x14ac:dyDescent="0.35"/>
    <row r="407" hidden="1" x14ac:dyDescent="0.35"/>
    <row r="408" hidden="1" x14ac:dyDescent="0.35"/>
    <row r="409" hidden="1" x14ac:dyDescent="0.35"/>
    <row r="410" hidden="1" x14ac:dyDescent="0.35"/>
    <row r="411" hidden="1" x14ac:dyDescent="0.35"/>
    <row r="412" hidden="1" x14ac:dyDescent="0.35"/>
    <row r="413" hidden="1" x14ac:dyDescent="0.35"/>
    <row r="414" hidden="1" x14ac:dyDescent="0.35"/>
    <row r="415" hidden="1" x14ac:dyDescent="0.35"/>
    <row r="416" hidden="1" x14ac:dyDescent="0.35"/>
    <row r="417" hidden="1" x14ac:dyDescent="0.35"/>
    <row r="418" hidden="1" x14ac:dyDescent="0.35"/>
    <row r="419" hidden="1" x14ac:dyDescent="0.35"/>
    <row r="420" hidden="1" x14ac:dyDescent="0.35"/>
    <row r="421" hidden="1" x14ac:dyDescent="0.35"/>
    <row r="422" hidden="1" x14ac:dyDescent="0.35"/>
    <row r="423" hidden="1" x14ac:dyDescent="0.35"/>
    <row r="424" hidden="1" x14ac:dyDescent="0.35"/>
    <row r="425" hidden="1" x14ac:dyDescent="0.35"/>
    <row r="426" hidden="1" x14ac:dyDescent="0.35"/>
    <row r="427" hidden="1" x14ac:dyDescent="0.35"/>
    <row r="428" hidden="1" x14ac:dyDescent="0.35"/>
    <row r="429" hidden="1" x14ac:dyDescent="0.35"/>
    <row r="430" hidden="1" x14ac:dyDescent="0.35"/>
    <row r="431" hidden="1" x14ac:dyDescent="0.35"/>
    <row r="432" hidden="1" x14ac:dyDescent="0.35"/>
    <row r="433" hidden="1" x14ac:dyDescent="0.35"/>
    <row r="434" hidden="1" x14ac:dyDescent="0.35"/>
    <row r="435" hidden="1" x14ac:dyDescent="0.35"/>
    <row r="436" hidden="1" x14ac:dyDescent="0.35"/>
    <row r="437" hidden="1" x14ac:dyDescent="0.35"/>
    <row r="438" hidden="1" x14ac:dyDescent="0.35"/>
    <row r="439" hidden="1" x14ac:dyDescent="0.35"/>
    <row r="440" hidden="1" x14ac:dyDescent="0.35"/>
    <row r="441" hidden="1" x14ac:dyDescent="0.35"/>
    <row r="442" hidden="1" x14ac:dyDescent="0.35"/>
    <row r="443" hidden="1" x14ac:dyDescent="0.35"/>
    <row r="444" hidden="1" x14ac:dyDescent="0.35"/>
    <row r="445" hidden="1" x14ac:dyDescent="0.35"/>
    <row r="446" hidden="1" x14ac:dyDescent="0.35"/>
    <row r="447" hidden="1" x14ac:dyDescent="0.35"/>
    <row r="448" hidden="1" x14ac:dyDescent="0.35"/>
    <row r="449" hidden="1" x14ac:dyDescent="0.35"/>
    <row r="450" hidden="1" x14ac:dyDescent="0.35"/>
    <row r="451" hidden="1" x14ac:dyDescent="0.35"/>
    <row r="452" hidden="1" x14ac:dyDescent="0.35"/>
    <row r="453" hidden="1" x14ac:dyDescent="0.35"/>
    <row r="454" hidden="1" x14ac:dyDescent="0.35"/>
    <row r="455" hidden="1" x14ac:dyDescent="0.35"/>
    <row r="456" hidden="1" x14ac:dyDescent="0.35"/>
    <row r="457" hidden="1" x14ac:dyDescent="0.35"/>
    <row r="458" hidden="1" x14ac:dyDescent="0.35"/>
    <row r="459" hidden="1" x14ac:dyDescent="0.35"/>
    <row r="460" hidden="1" x14ac:dyDescent="0.35"/>
    <row r="461" hidden="1" x14ac:dyDescent="0.35"/>
    <row r="462" hidden="1" x14ac:dyDescent="0.35"/>
    <row r="463" hidden="1" x14ac:dyDescent="0.35"/>
    <row r="464" hidden="1" x14ac:dyDescent="0.35"/>
    <row r="465" hidden="1" x14ac:dyDescent="0.35"/>
    <row r="466" hidden="1" x14ac:dyDescent="0.35"/>
    <row r="467" hidden="1" x14ac:dyDescent="0.35"/>
    <row r="468" hidden="1" x14ac:dyDescent="0.35"/>
    <row r="469" hidden="1" x14ac:dyDescent="0.35"/>
    <row r="470" hidden="1" x14ac:dyDescent="0.35"/>
    <row r="471" hidden="1" x14ac:dyDescent="0.35"/>
    <row r="472" hidden="1" x14ac:dyDescent="0.35"/>
    <row r="473" hidden="1" x14ac:dyDescent="0.35"/>
    <row r="474" hidden="1" x14ac:dyDescent="0.35"/>
    <row r="475" hidden="1" x14ac:dyDescent="0.35"/>
    <row r="476" hidden="1" x14ac:dyDescent="0.35"/>
    <row r="477" hidden="1" x14ac:dyDescent="0.35"/>
    <row r="478" hidden="1" x14ac:dyDescent="0.35"/>
    <row r="479" hidden="1" x14ac:dyDescent="0.35"/>
    <row r="480" hidden="1" x14ac:dyDescent="0.35"/>
    <row r="481" hidden="1" x14ac:dyDescent="0.35"/>
    <row r="482" hidden="1" x14ac:dyDescent="0.35"/>
    <row r="483" hidden="1" x14ac:dyDescent="0.35"/>
    <row r="484" hidden="1" x14ac:dyDescent="0.35"/>
    <row r="485" hidden="1" x14ac:dyDescent="0.35"/>
    <row r="486" hidden="1" x14ac:dyDescent="0.35"/>
    <row r="487" hidden="1" x14ac:dyDescent="0.35"/>
    <row r="488" hidden="1" x14ac:dyDescent="0.35"/>
    <row r="489" hidden="1" x14ac:dyDescent="0.35"/>
    <row r="490" hidden="1" x14ac:dyDescent="0.35"/>
    <row r="491" hidden="1" x14ac:dyDescent="0.35"/>
    <row r="492" hidden="1" x14ac:dyDescent="0.35"/>
    <row r="493" hidden="1" x14ac:dyDescent="0.35"/>
    <row r="494" hidden="1" x14ac:dyDescent="0.35"/>
    <row r="495" hidden="1" x14ac:dyDescent="0.35"/>
    <row r="496" hidden="1" x14ac:dyDescent="0.35"/>
    <row r="497" hidden="1" x14ac:dyDescent="0.35"/>
    <row r="498" hidden="1" x14ac:dyDescent="0.35"/>
    <row r="499" hidden="1" x14ac:dyDescent="0.35"/>
    <row r="500" hidden="1" x14ac:dyDescent="0.35"/>
    <row r="501" hidden="1" x14ac:dyDescent="0.35"/>
    <row r="502" hidden="1" x14ac:dyDescent="0.35"/>
    <row r="503" hidden="1" x14ac:dyDescent="0.35"/>
    <row r="504" hidden="1" x14ac:dyDescent="0.35"/>
    <row r="505" hidden="1" x14ac:dyDescent="0.35"/>
    <row r="506" hidden="1" x14ac:dyDescent="0.35"/>
    <row r="507" hidden="1" x14ac:dyDescent="0.35"/>
    <row r="508" hidden="1" x14ac:dyDescent="0.35"/>
    <row r="509" hidden="1" x14ac:dyDescent="0.35"/>
    <row r="510" hidden="1" x14ac:dyDescent="0.35"/>
    <row r="511" hidden="1" x14ac:dyDescent="0.35"/>
    <row r="512" hidden="1" x14ac:dyDescent="0.35"/>
    <row r="513" hidden="1" x14ac:dyDescent="0.35"/>
    <row r="514" hidden="1" x14ac:dyDescent="0.35"/>
    <row r="515" hidden="1" x14ac:dyDescent="0.35"/>
    <row r="516" hidden="1" x14ac:dyDescent="0.35"/>
    <row r="517" hidden="1" x14ac:dyDescent="0.35"/>
    <row r="518" hidden="1" x14ac:dyDescent="0.35"/>
    <row r="519" hidden="1" x14ac:dyDescent="0.35"/>
    <row r="520" hidden="1" x14ac:dyDescent="0.35"/>
    <row r="521" hidden="1" x14ac:dyDescent="0.35"/>
    <row r="522" hidden="1" x14ac:dyDescent="0.35"/>
    <row r="523" hidden="1" x14ac:dyDescent="0.35"/>
    <row r="524" hidden="1" x14ac:dyDescent="0.35"/>
    <row r="525" hidden="1" x14ac:dyDescent="0.35"/>
    <row r="526" hidden="1" x14ac:dyDescent="0.35"/>
    <row r="527" hidden="1" x14ac:dyDescent="0.35"/>
    <row r="528" hidden="1" x14ac:dyDescent="0.35"/>
    <row r="529" spans="10:11" hidden="1" x14ac:dyDescent="0.35"/>
    <row r="530" spans="10:11" hidden="1" x14ac:dyDescent="0.35"/>
    <row r="531" spans="10:11" hidden="1" x14ac:dyDescent="0.35"/>
    <row r="532" spans="10:11" hidden="1" x14ac:dyDescent="0.35"/>
    <row r="533" spans="10:11" hidden="1" x14ac:dyDescent="0.35"/>
    <row r="534" spans="10:11" hidden="1" x14ac:dyDescent="0.35"/>
    <row r="535" spans="10:11" hidden="1" x14ac:dyDescent="0.35">
      <c r="J535"/>
      <c r="K535"/>
    </row>
    <row r="536" spans="10:11" hidden="1" x14ac:dyDescent="0.35">
      <c r="J536"/>
      <c r="K536"/>
    </row>
    <row r="537" spans="10:11" hidden="1" x14ac:dyDescent="0.35">
      <c r="J537"/>
      <c r="K537"/>
    </row>
    <row r="538" spans="10:11" hidden="1" x14ac:dyDescent="0.35">
      <c r="J538"/>
      <c r="K538"/>
    </row>
    <row r="539" spans="10:11" hidden="1" x14ac:dyDescent="0.35">
      <c r="J539"/>
      <c r="K539"/>
    </row>
    <row r="540" spans="10:11" hidden="1" x14ac:dyDescent="0.35">
      <c r="J540"/>
      <c r="K540"/>
    </row>
    <row r="541" spans="10:11" hidden="1" x14ac:dyDescent="0.35">
      <c r="J541"/>
      <c r="K541"/>
    </row>
    <row r="542" spans="10:11" hidden="1" x14ac:dyDescent="0.35">
      <c r="J542"/>
      <c r="K542"/>
    </row>
    <row r="543" spans="10:11" hidden="1" x14ac:dyDescent="0.35">
      <c r="J543"/>
      <c r="K543"/>
    </row>
    <row r="544" spans="10:11" hidden="1" x14ac:dyDescent="0.35">
      <c r="J544"/>
      <c r="K544"/>
    </row>
    <row r="545" spans="10:11" hidden="1" x14ac:dyDescent="0.35">
      <c r="J545"/>
      <c r="K545"/>
    </row>
    <row r="546" spans="10:11" hidden="1" x14ac:dyDescent="0.35">
      <c r="J546"/>
      <c r="K546"/>
    </row>
    <row r="547" spans="10:11" hidden="1" x14ac:dyDescent="0.35">
      <c r="J547"/>
      <c r="K547"/>
    </row>
    <row r="548" spans="10:11" hidden="1" x14ac:dyDescent="0.35">
      <c r="J548"/>
      <c r="K548"/>
    </row>
    <row r="549" spans="10:11" hidden="1" x14ac:dyDescent="0.35">
      <c r="J549"/>
      <c r="K549"/>
    </row>
    <row r="550" spans="10:11" hidden="1" x14ac:dyDescent="0.35">
      <c r="J550"/>
      <c r="K550"/>
    </row>
    <row r="551" spans="10:11" hidden="1" x14ac:dyDescent="0.35"/>
    <row r="552" spans="10:11" hidden="1" x14ac:dyDescent="0.35"/>
    <row r="553" spans="10:11" hidden="1" x14ac:dyDescent="0.35"/>
    <row r="554" spans="10:11" hidden="1" x14ac:dyDescent="0.35"/>
    <row r="555" spans="10:11" hidden="1" x14ac:dyDescent="0.35"/>
    <row r="556" spans="10:11" hidden="1" x14ac:dyDescent="0.35"/>
    <row r="557" spans="10:11" hidden="1" x14ac:dyDescent="0.35"/>
    <row r="558" spans="10:11" hidden="1" x14ac:dyDescent="0.35"/>
    <row r="559" spans="10:11" hidden="1" x14ac:dyDescent="0.35"/>
    <row r="560" spans="10:11" hidden="1" x14ac:dyDescent="0.35"/>
    <row r="561" hidden="1" x14ac:dyDescent="0.35"/>
    <row r="562" hidden="1" x14ac:dyDescent="0.35"/>
    <row r="563" hidden="1" x14ac:dyDescent="0.35"/>
    <row r="564" hidden="1" x14ac:dyDescent="0.35"/>
    <row r="565" hidden="1" x14ac:dyDescent="0.35"/>
    <row r="566" hidden="1" x14ac:dyDescent="0.35"/>
    <row r="567" hidden="1" x14ac:dyDescent="0.35"/>
    <row r="568" hidden="1" x14ac:dyDescent="0.35"/>
    <row r="569" hidden="1" x14ac:dyDescent="0.35"/>
    <row r="570" hidden="1" x14ac:dyDescent="0.35"/>
    <row r="571" hidden="1" x14ac:dyDescent="0.35"/>
    <row r="572" hidden="1" x14ac:dyDescent="0.35"/>
    <row r="573" hidden="1" x14ac:dyDescent="0.35"/>
    <row r="574" hidden="1" x14ac:dyDescent="0.35"/>
    <row r="575" hidden="1" x14ac:dyDescent="0.35"/>
    <row r="576" hidden="1" x14ac:dyDescent="0.35"/>
    <row r="577" hidden="1" x14ac:dyDescent="0.35"/>
    <row r="578" hidden="1" x14ac:dyDescent="0.35"/>
    <row r="579" hidden="1" x14ac:dyDescent="0.35"/>
    <row r="580" hidden="1" x14ac:dyDescent="0.35"/>
    <row r="581" hidden="1" x14ac:dyDescent="0.35"/>
    <row r="582" hidden="1" x14ac:dyDescent="0.35"/>
    <row r="583" hidden="1" x14ac:dyDescent="0.35"/>
    <row r="584" hidden="1" x14ac:dyDescent="0.35"/>
    <row r="585" hidden="1" x14ac:dyDescent="0.35"/>
    <row r="586" hidden="1" x14ac:dyDescent="0.35"/>
    <row r="587" hidden="1" x14ac:dyDescent="0.35"/>
    <row r="588" hidden="1" x14ac:dyDescent="0.35"/>
    <row r="589" hidden="1" x14ac:dyDescent="0.35"/>
    <row r="590" hidden="1" x14ac:dyDescent="0.35"/>
    <row r="591" hidden="1" x14ac:dyDescent="0.35"/>
    <row r="592" hidden="1" x14ac:dyDescent="0.35"/>
    <row r="593" hidden="1" x14ac:dyDescent="0.35"/>
    <row r="594" hidden="1" x14ac:dyDescent="0.35"/>
    <row r="595" hidden="1" x14ac:dyDescent="0.35"/>
    <row r="596" hidden="1" x14ac:dyDescent="0.35"/>
    <row r="597" hidden="1" x14ac:dyDescent="0.35"/>
    <row r="598" hidden="1" x14ac:dyDescent="0.35"/>
    <row r="599" hidden="1" x14ac:dyDescent="0.35"/>
    <row r="600" hidden="1" x14ac:dyDescent="0.35"/>
    <row r="601" hidden="1" x14ac:dyDescent="0.35"/>
    <row r="602" hidden="1" x14ac:dyDescent="0.35"/>
    <row r="603" hidden="1" x14ac:dyDescent="0.35"/>
    <row r="604" hidden="1" x14ac:dyDescent="0.35"/>
    <row r="605" hidden="1" x14ac:dyDescent="0.35"/>
    <row r="606" hidden="1" x14ac:dyDescent="0.35"/>
    <row r="607" hidden="1" x14ac:dyDescent="0.35"/>
    <row r="608" hidden="1" x14ac:dyDescent="0.35"/>
    <row r="609" hidden="1" x14ac:dyDescent="0.35"/>
    <row r="610" hidden="1" x14ac:dyDescent="0.35"/>
    <row r="611" hidden="1" x14ac:dyDescent="0.35"/>
    <row r="612" hidden="1" x14ac:dyDescent="0.35"/>
    <row r="613" hidden="1" x14ac:dyDescent="0.35"/>
    <row r="614" hidden="1" x14ac:dyDescent="0.35"/>
    <row r="615" hidden="1" x14ac:dyDescent="0.35"/>
    <row r="616" hidden="1" x14ac:dyDescent="0.35"/>
    <row r="617" hidden="1" x14ac:dyDescent="0.35"/>
    <row r="618" hidden="1" x14ac:dyDescent="0.35"/>
    <row r="619" hidden="1" x14ac:dyDescent="0.35"/>
    <row r="620" hidden="1" x14ac:dyDescent="0.35"/>
    <row r="621" hidden="1" x14ac:dyDescent="0.35"/>
    <row r="622" hidden="1" x14ac:dyDescent="0.35"/>
    <row r="623" hidden="1" x14ac:dyDescent="0.35"/>
    <row r="624" hidden="1" x14ac:dyDescent="0.35"/>
    <row r="625" hidden="1" x14ac:dyDescent="0.35"/>
    <row r="626" hidden="1" x14ac:dyDescent="0.35"/>
    <row r="627" hidden="1" x14ac:dyDescent="0.35"/>
    <row r="628" hidden="1" x14ac:dyDescent="0.35"/>
    <row r="629" hidden="1" x14ac:dyDescent="0.35"/>
    <row r="630" hidden="1" x14ac:dyDescent="0.35"/>
    <row r="631" hidden="1" x14ac:dyDescent="0.35"/>
    <row r="632" hidden="1" x14ac:dyDescent="0.35"/>
    <row r="633" hidden="1" x14ac:dyDescent="0.35"/>
    <row r="634" hidden="1" x14ac:dyDescent="0.35"/>
    <row r="635" hidden="1" x14ac:dyDescent="0.35"/>
  </sheetData>
  <autoFilter ref="A1:AP635" xr:uid="{ABEE9741-1CBB-47BD-A214-237C14086230}">
    <filterColumn colId="3">
      <customFilters>
        <customFilter operator="notEqual" val=" "/>
      </customFilters>
    </filterColumn>
  </autoFilter>
  <phoneticPr fontId="1" type="noConversion"/>
  <conditionalFormatting sqref="Q1:Q1048576">
    <cfRule type="cellIs" dxfId="1" priority="2" operator="lessThan">
      <formula>15</formula>
    </cfRule>
  </conditionalFormatting>
  <conditionalFormatting sqref="U1:U1048576">
    <cfRule type="cellIs" dxfId="0" priority="1" operator="greaterThan">
      <formula>0.4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Wongsuvapich, D. (Dutkamon)</dc:creator>
  <cp:lastModifiedBy>Wongsuvapich, D. (Dutkamon)</cp:lastModifiedBy>
  <dcterms:created xsi:type="dcterms:W3CDTF">2026-02-05T21:15:34Z</dcterms:created>
  <dcterms:modified xsi:type="dcterms:W3CDTF">2026-04-13T12:38:13Z</dcterms:modified>
</cp:coreProperties>
</file>